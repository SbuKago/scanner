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vfin2food-my.sharepoint.com/personal/sibusiso_makhonjwa_in2food_co_za/Documents/"/>
    </mc:Choice>
  </mc:AlternateContent>
  <xr:revisionPtr revIDLastSave="0" documentId="8_{8CB64117-7211-4665-ADF0-73F9CC241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product" sheetId="3" r:id="rId1"/>
    <sheet name="Schedule for outstanding prod" sheetId="2" state="hidden" r:id="rId2"/>
    <sheet name="07 Aug" sheetId="5" r:id="rId3"/>
  </sheets>
  <externalReferences>
    <externalReference r:id="rId4"/>
  </externalReferences>
  <definedNames>
    <definedName name="_xlnm._FilterDatabase" localSheetId="0" hidden="1">'Final product'!$C$14:$C$23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7" i="3"/>
  <c r="L2" i="3"/>
  <c r="L3" i="3"/>
  <c r="L4" i="3"/>
  <c r="L5" i="3"/>
  <c r="L6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7" i="3"/>
  <c r="K2" i="3"/>
  <c r="K3" i="3"/>
  <c r="K4" i="3"/>
  <c r="K5" i="3"/>
  <c r="K6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7" i="3"/>
  <c r="J2" i="3"/>
  <c r="J3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7" i="3"/>
  <c r="N121" i="5" l="1"/>
  <c r="I121" i="5"/>
  <c r="M121" i="5"/>
  <c r="O121" i="5"/>
  <c r="P121" i="5"/>
  <c r="N120" i="5"/>
  <c r="I120" i="5"/>
  <c r="M120" i="5"/>
  <c r="O120" i="5"/>
  <c r="P120" i="5"/>
  <c r="N119" i="5"/>
  <c r="I119" i="5"/>
  <c r="M119" i="5"/>
  <c r="O119" i="5"/>
  <c r="P119" i="5"/>
  <c r="N118" i="5"/>
  <c r="I118" i="5"/>
  <c r="M118" i="5"/>
  <c r="O118" i="5"/>
  <c r="P118" i="5"/>
  <c r="N117" i="5"/>
  <c r="I117" i="5"/>
  <c r="M117" i="5"/>
  <c r="O117" i="5"/>
  <c r="P117" i="5"/>
  <c r="N116" i="5"/>
  <c r="I116" i="5"/>
  <c r="M116" i="5"/>
  <c r="O116" i="5"/>
  <c r="P116" i="5"/>
  <c r="N115" i="5"/>
  <c r="I115" i="5"/>
  <c r="M115" i="5"/>
  <c r="O115" i="5"/>
  <c r="P115" i="5"/>
  <c r="L114" i="5"/>
  <c r="N114" i="5"/>
  <c r="I114" i="5"/>
  <c r="M114" i="5"/>
  <c r="O114" i="5"/>
  <c r="P114" i="5"/>
  <c r="N113" i="5"/>
  <c r="I113" i="5"/>
  <c r="M113" i="5"/>
  <c r="O113" i="5"/>
  <c r="P113" i="5"/>
  <c r="N112" i="5"/>
  <c r="I112" i="5"/>
  <c r="M112" i="5"/>
  <c r="O112" i="5"/>
  <c r="P112" i="5"/>
  <c r="N111" i="5"/>
  <c r="I111" i="5"/>
  <c r="M111" i="5"/>
  <c r="O111" i="5"/>
  <c r="P111" i="5"/>
  <c r="N110" i="5"/>
  <c r="I110" i="5"/>
  <c r="M110" i="5"/>
  <c r="O110" i="5"/>
  <c r="P110" i="5"/>
  <c r="N109" i="5"/>
  <c r="I109" i="5"/>
  <c r="M109" i="5"/>
  <c r="O109" i="5"/>
  <c r="P109" i="5"/>
  <c r="L108" i="5"/>
  <c r="N108" i="5"/>
  <c r="I108" i="5"/>
  <c r="M108" i="5"/>
  <c r="O108" i="5"/>
  <c r="P108" i="5"/>
  <c r="L107" i="5"/>
  <c r="N107" i="5"/>
  <c r="I107" i="5"/>
  <c r="M107" i="5"/>
  <c r="O107" i="5"/>
  <c r="P107" i="5"/>
  <c r="L106" i="5"/>
  <c r="N106" i="5"/>
  <c r="I106" i="5"/>
  <c r="M106" i="5"/>
  <c r="O106" i="5"/>
  <c r="P106" i="5"/>
  <c r="L105" i="5"/>
  <c r="N105" i="5"/>
  <c r="I105" i="5"/>
  <c r="M105" i="5"/>
  <c r="O105" i="5"/>
  <c r="P105" i="5"/>
  <c r="L104" i="5"/>
  <c r="N104" i="5"/>
  <c r="I104" i="5"/>
  <c r="M104" i="5"/>
  <c r="O104" i="5"/>
  <c r="P104" i="5"/>
  <c r="L103" i="5"/>
  <c r="N103" i="5"/>
  <c r="I103" i="5"/>
  <c r="M103" i="5"/>
  <c r="O103" i="5"/>
  <c r="P103" i="5"/>
  <c r="N102" i="5"/>
  <c r="I102" i="5"/>
  <c r="M102" i="5"/>
  <c r="O102" i="5"/>
  <c r="P102" i="5"/>
  <c r="N101" i="5"/>
  <c r="I101" i="5"/>
  <c r="M101" i="5"/>
  <c r="O101" i="5"/>
  <c r="P101" i="5"/>
  <c r="N100" i="5"/>
  <c r="I100" i="5"/>
  <c r="M100" i="5"/>
  <c r="O100" i="5"/>
  <c r="P100" i="5"/>
  <c r="N99" i="5"/>
  <c r="I99" i="5"/>
  <c r="M99" i="5"/>
  <c r="O99" i="5"/>
  <c r="P99" i="5"/>
  <c r="L98" i="5"/>
  <c r="N98" i="5"/>
  <c r="I98" i="5"/>
  <c r="M98" i="5"/>
  <c r="O98" i="5"/>
  <c r="P98" i="5"/>
  <c r="L97" i="5"/>
  <c r="N97" i="5"/>
  <c r="I97" i="5"/>
  <c r="M97" i="5"/>
  <c r="O97" i="5"/>
  <c r="P97" i="5"/>
  <c r="L96" i="5"/>
  <c r="N96" i="5"/>
  <c r="I96" i="5"/>
  <c r="M96" i="5"/>
  <c r="O96" i="5"/>
  <c r="P96" i="5"/>
  <c r="L95" i="5"/>
  <c r="N95" i="5"/>
  <c r="I95" i="5"/>
  <c r="M95" i="5"/>
  <c r="O95" i="5"/>
  <c r="P95" i="5"/>
  <c r="L94" i="5"/>
  <c r="N94" i="5"/>
  <c r="I94" i="5"/>
  <c r="M94" i="5"/>
  <c r="O94" i="5"/>
  <c r="P94" i="5"/>
  <c r="L93" i="5"/>
  <c r="N93" i="5"/>
  <c r="I93" i="5"/>
  <c r="M93" i="5"/>
  <c r="O93" i="5"/>
  <c r="P93" i="5"/>
  <c r="L92" i="5"/>
  <c r="N92" i="5"/>
  <c r="I92" i="5"/>
  <c r="M92" i="5"/>
  <c r="O92" i="5"/>
  <c r="P92" i="5"/>
  <c r="N91" i="5"/>
  <c r="I91" i="5"/>
  <c r="M91" i="5"/>
  <c r="O91" i="5"/>
  <c r="L90" i="5"/>
  <c r="N90" i="5"/>
  <c r="I90" i="5"/>
  <c r="M90" i="5"/>
  <c r="O90" i="5"/>
  <c r="P90" i="5"/>
  <c r="L89" i="5"/>
  <c r="N89" i="5"/>
  <c r="I89" i="5"/>
  <c r="M89" i="5"/>
  <c r="O89" i="5"/>
  <c r="P89" i="5"/>
  <c r="L88" i="5"/>
  <c r="N88" i="5"/>
  <c r="I88" i="5"/>
  <c r="M88" i="5"/>
  <c r="O88" i="5"/>
  <c r="P88" i="5"/>
  <c r="L87" i="5"/>
  <c r="N87" i="5"/>
  <c r="I87" i="5"/>
  <c r="M87" i="5"/>
  <c r="O87" i="5"/>
  <c r="P87" i="5"/>
  <c r="L86" i="5"/>
  <c r="N86" i="5"/>
  <c r="I86" i="5"/>
  <c r="M86" i="5"/>
  <c r="O86" i="5"/>
  <c r="P86" i="5"/>
  <c r="L85" i="5"/>
  <c r="N85" i="5"/>
  <c r="I85" i="5"/>
  <c r="M85" i="5"/>
  <c r="O85" i="5"/>
  <c r="P85" i="5"/>
  <c r="L84" i="5"/>
  <c r="N84" i="5"/>
  <c r="I84" i="5"/>
  <c r="M84" i="5"/>
  <c r="O84" i="5"/>
  <c r="P84" i="5"/>
  <c r="L83" i="5"/>
  <c r="N83" i="5"/>
  <c r="I83" i="5"/>
  <c r="M83" i="5"/>
  <c r="O83" i="5"/>
  <c r="P83" i="5"/>
  <c r="L82" i="5"/>
  <c r="N82" i="5"/>
  <c r="I82" i="5"/>
  <c r="M82" i="5"/>
  <c r="O82" i="5"/>
  <c r="P82" i="5"/>
  <c r="L81" i="5"/>
  <c r="N81" i="5"/>
  <c r="I81" i="5"/>
  <c r="M81" i="5"/>
  <c r="O81" i="5"/>
  <c r="P81" i="5"/>
  <c r="L80" i="5"/>
  <c r="N80" i="5"/>
  <c r="I80" i="5"/>
  <c r="M80" i="5"/>
  <c r="O80" i="5"/>
  <c r="P80" i="5"/>
  <c r="L79" i="5"/>
  <c r="N79" i="5"/>
  <c r="I79" i="5"/>
  <c r="M79" i="5"/>
  <c r="O79" i="5"/>
  <c r="P79" i="5"/>
  <c r="L78" i="5"/>
  <c r="N78" i="5"/>
  <c r="I78" i="5"/>
  <c r="M78" i="5"/>
  <c r="O78" i="5"/>
  <c r="P78" i="5"/>
  <c r="L77" i="5"/>
  <c r="N77" i="5"/>
  <c r="I77" i="5"/>
  <c r="M77" i="5"/>
  <c r="O77" i="5"/>
  <c r="P77" i="5"/>
  <c r="L76" i="5"/>
  <c r="N76" i="5"/>
  <c r="I76" i="5"/>
  <c r="M76" i="5"/>
  <c r="O76" i="5"/>
  <c r="P76" i="5"/>
  <c r="L75" i="5"/>
  <c r="N75" i="5"/>
  <c r="I75" i="5"/>
  <c r="M75" i="5"/>
  <c r="O75" i="5"/>
  <c r="P75" i="5"/>
  <c r="L74" i="5"/>
  <c r="N74" i="5"/>
  <c r="I74" i="5"/>
  <c r="M74" i="5"/>
  <c r="O74" i="5"/>
  <c r="P74" i="5"/>
  <c r="L73" i="5"/>
  <c r="N73" i="5"/>
  <c r="I73" i="5"/>
  <c r="M73" i="5"/>
  <c r="O73" i="5"/>
  <c r="P73" i="5"/>
  <c r="L72" i="5"/>
  <c r="N72" i="5"/>
  <c r="I72" i="5"/>
  <c r="M72" i="5"/>
  <c r="O72" i="5"/>
  <c r="P72" i="5"/>
  <c r="L71" i="5"/>
  <c r="N71" i="5"/>
  <c r="I71" i="5"/>
  <c r="M71" i="5"/>
  <c r="O71" i="5"/>
  <c r="P71" i="5"/>
  <c r="L70" i="5"/>
  <c r="N70" i="5"/>
  <c r="I70" i="5"/>
  <c r="M70" i="5"/>
  <c r="O70" i="5"/>
  <c r="P70" i="5"/>
  <c r="L69" i="5"/>
  <c r="N69" i="5"/>
  <c r="I69" i="5"/>
  <c r="M69" i="5"/>
  <c r="O69" i="5"/>
  <c r="P69" i="5"/>
  <c r="L68" i="5"/>
  <c r="N68" i="5"/>
  <c r="I68" i="5"/>
  <c r="M68" i="5"/>
  <c r="O68" i="5"/>
  <c r="P68" i="5"/>
  <c r="L67" i="5"/>
  <c r="N67" i="5"/>
  <c r="I67" i="5"/>
  <c r="M67" i="5"/>
  <c r="O67" i="5"/>
  <c r="P67" i="5"/>
  <c r="L66" i="5"/>
  <c r="N66" i="5"/>
  <c r="I66" i="5"/>
  <c r="M66" i="5"/>
  <c r="O66" i="5"/>
  <c r="P66" i="5"/>
  <c r="L65" i="5"/>
  <c r="N65" i="5"/>
  <c r="I65" i="5"/>
  <c r="M65" i="5"/>
  <c r="O65" i="5"/>
  <c r="P65" i="5"/>
  <c r="L64" i="5"/>
  <c r="N64" i="5"/>
  <c r="I64" i="5"/>
  <c r="M64" i="5"/>
  <c r="O64" i="5"/>
  <c r="P64" i="5"/>
  <c r="L63" i="5"/>
  <c r="N63" i="5"/>
  <c r="I63" i="5"/>
  <c r="M63" i="5"/>
  <c r="O63" i="5"/>
  <c r="P63" i="5"/>
  <c r="N62" i="5"/>
  <c r="I62" i="5"/>
  <c r="M62" i="5"/>
  <c r="O62" i="5"/>
  <c r="P62" i="5"/>
  <c r="N61" i="5"/>
  <c r="I61" i="5"/>
  <c r="M61" i="5"/>
  <c r="O61" i="5"/>
  <c r="P61" i="5"/>
  <c r="L60" i="5"/>
  <c r="N60" i="5"/>
  <c r="I60" i="5"/>
  <c r="M60" i="5"/>
  <c r="O60" i="5"/>
  <c r="P60" i="5"/>
  <c r="N59" i="5"/>
  <c r="I59" i="5"/>
  <c r="M59" i="5"/>
  <c r="O59" i="5"/>
  <c r="P59" i="5"/>
  <c r="L58" i="5"/>
  <c r="N58" i="5"/>
  <c r="I58" i="5"/>
  <c r="M58" i="5"/>
  <c r="O58" i="5"/>
  <c r="P58" i="5"/>
  <c r="L57" i="5"/>
  <c r="N57" i="5"/>
  <c r="I57" i="5"/>
  <c r="M57" i="5"/>
  <c r="O57" i="5"/>
  <c r="P57" i="5"/>
  <c r="L56" i="5"/>
  <c r="N56" i="5"/>
  <c r="I56" i="5"/>
  <c r="M56" i="5"/>
  <c r="O56" i="5"/>
  <c r="P56" i="5"/>
  <c r="L55" i="5"/>
  <c r="N55" i="5"/>
  <c r="I55" i="5"/>
  <c r="M55" i="5"/>
  <c r="O55" i="5"/>
  <c r="P55" i="5"/>
  <c r="L54" i="5"/>
  <c r="N54" i="5"/>
  <c r="I54" i="5"/>
  <c r="M54" i="5"/>
  <c r="O54" i="5"/>
  <c r="P54" i="5"/>
  <c r="L53" i="5"/>
  <c r="N53" i="5"/>
  <c r="I53" i="5"/>
  <c r="M53" i="5"/>
  <c r="O53" i="5"/>
  <c r="P53" i="5"/>
  <c r="L52" i="5"/>
  <c r="N52" i="5"/>
  <c r="I52" i="5"/>
  <c r="M52" i="5"/>
  <c r="O52" i="5"/>
  <c r="P52" i="5"/>
  <c r="L51" i="5"/>
  <c r="N51" i="5"/>
  <c r="I51" i="5"/>
  <c r="M51" i="5"/>
  <c r="O51" i="5"/>
  <c r="P51" i="5"/>
  <c r="L50" i="5"/>
  <c r="N50" i="5"/>
  <c r="I50" i="5"/>
  <c r="M50" i="5"/>
  <c r="O50" i="5"/>
  <c r="P50" i="5"/>
  <c r="I49" i="5"/>
  <c r="L48" i="5"/>
  <c r="N48" i="5"/>
  <c r="I48" i="5"/>
  <c r="M48" i="5"/>
  <c r="O48" i="5"/>
  <c r="P48" i="5"/>
  <c r="L47" i="5"/>
  <c r="N47" i="5"/>
  <c r="I47" i="5"/>
  <c r="M47" i="5"/>
  <c r="O47" i="5"/>
  <c r="P47" i="5"/>
  <c r="L46" i="5"/>
  <c r="N46" i="5"/>
  <c r="I46" i="5"/>
  <c r="M46" i="5"/>
  <c r="O46" i="5"/>
  <c r="P46" i="5"/>
  <c r="L45" i="5"/>
  <c r="N45" i="5"/>
  <c r="I45" i="5"/>
  <c r="M45" i="5"/>
  <c r="O45" i="5"/>
  <c r="P45" i="5"/>
  <c r="L44" i="5"/>
  <c r="N44" i="5"/>
  <c r="I44" i="5"/>
  <c r="M44" i="5"/>
  <c r="O44" i="5"/>
  <c r="P44" i="5"/>
  <c r="L43" i="5"/>
  <c r="N43" i="5"/>
  <c r="I43" i="5"/>
  <c r="M43" i="5"/>
  <c r="O43" i="5"/>
  <c r="P43" i="5"/>
  <c r="L42" i="5"/>
  <c r="N42" i="5"/>
  <c r="I42" i="5"/>
  <c r="M42" i="5"/>
  <c r="O42" i="5"/>
  <c r="P42" i="5"/>
  <c r="L41" i="5"/>
  <c r="N41" i="5"/>
  <c r="I41" i="5"/>
  <c r="M41" i="5"/>
  <c r="O41" i="5"/>
  <c r="P41" i="5"/>
  <c r="L40" i="5"/>
  <c r="N40" i="5"/>
  <c r="I40" i="5"/>
  <c r="M40" i="5"/>
  <c r="O40" i="5"/>
  <c r="P40" i="5"/>
  <c r="L39" i="5"/>
  <c r="N39" i="5"/>
  <c r="I39" i="5"/>
  <c r="M39" i="5"/>
  <c r="O39" i="5"/>
  <c r="P39" i="5"/>
  <c r="L38" i="5"/>
  <c r="N38" i="5"/>
  <c r="I38" i="5"/>
  <c r="M38" i="5"/>
  <c r="O38" i="5"/>
  <c r="P38" i="5"/>
  <c r="L37" i="5"/>
  <c r="N37" i="5"/>
  <c r="I37" i="5"/>
  <c r="M37" i="5"/>
  <c r="O37" i="5"/>
  <c r="P37" i="5"/>
  <c r="N36" i="5"/>
  <c r="I36" i="5"/>
  <c r="M36" i="5"/>
  <c r="O36" i="5"/>
  <c r="P36" i="5"/>
  <c r="N35" i="5"/>
  <c r="I35" i="5"/>
  <c r="M35" i="5"/>
  <c r="O35" i="5"/>
  <c r="P35" i="5"/>
  <c r="N34" i="5"/>
  <c r="I34" i="5"/>
  <c r="M34" i="5"/>
  <c r="O34" i="5"/>
  <c r="P34" i="5"/>
  <c r="N33" i="5"/>
  <c r="I33" i="5"/>
  <c r="M33" i="5"/>
  <c r="O33" i="5"/>
  <c r="P33" i="5"/>
  <c r="N32" i="5"/>
  <c r="I32" i="5"/>
  <c r="M32" i="5"/>
  <c r="O32" i="5"/>
  <c r="P32" i="5"/>
  <c r="N31" i="5"/>
  <c r="I31" i="5"/>
  <c r="M31" i="5"/>
  <c r="O31" i="5"/>
  <c r="P31" i="5"/>
  <c r="L30" i="5"/>
  <c r="N30" i="5"/>
  <c r="I30" i="5"/>
  <c r="M30" i="5"/>
  <c r="O30" i="5"/>
  <c r="P30" i="5"/>
  <c r="L29" i="5"/>
  <c r="N29" i="5"/>
  <c r="I29" i="5"/>
  <c r="M29" i="5"/>
  <c r="O29" i="5"/>
  <c r="P29" i="5"/>
  <c r="L28" i="5"/>
  <c r="N28" i="5"/>
  <c r="I28" i="5"/>
  <c r="M28" i="5"/>
  <c r="O28" i="5"/>
  <c r="P28" i="5"/>
  <c r="L27" i="5"/>
  <c r="N27" i="5"/>
  <c r="I27" i="5"/>
  <c r="M27" i="5"/>
  <c r="O27" i="5"/>
  <c r="P27" i="5"/>
  <c r="L26" i="5"/>
  <c r="N26" i="5"/>
  <c r="I26" i="5"/>
  <c r="M26" i="5"/>
  <c r="O26" i="5"/>
  <c r="P26" i="5"/>
  <c r="L25" i="5"/>
  <c r="N25" i="5"/>
  <c r="I25" i="5"/>
  <c r="M25" i="5"/>
  <c r="O25" i="5"/>
  <c r="P25" i="5"/>
  <c r="L24" i="5"/>
  <c r="N24" i="5"/>
  <c r="I24" i="5"/>
  <c r="M24" i="5"/>
  <c r="O24" i="5"/>
  <c r="P24" i="5"/>
  <c r="L23" i="5"/>
  <c r="N23" i="5"/>
  <c r="I23" i="5"/>
  <c r="M23" i="5"/>
  <c r="O23" i="5"/>
  <c r="P23" i="5"/>
  <c r="L22" i="5"/>
  <c r="N22" i="5"/>
  <c r="I22" i="5"/>
  <c r="M22" i="5"/>
  <c r="O22" i="5"/>
  <c r="P22" i="5"/>
  <c r="L21" i="5"/>
  <c r="N21" i="5"/>
  <c r="I21" i="5"/>
  <c r="M21" i="5"/>
  <c r="O21" i="5"/>
  <c r="P21" i="5"/>
  <c r="L20" i="5"/>
  <c r="N20" i="5"/>
  <c r="I20" i="5"/>
  <c r="M20" i="5"/>
  <c r="O20" i="5"/>
  <c r="P20" i="5"/>
  <c r="L19" i="5"/>
  <c r="N19" i="5"/>
  <c r="I19" i="5"/>
  <c r="M19" i="5"/>
  <c r="O19" i="5"/>
  <c r="P19" i="5"/>
  <c r="L18" i="5"/>
  <c r="N18" i="5"/>
  <c r="I18" i="5"/>
  <c r="M18" i="5"/>
  <c r="O18" i="5"/>
  <c r="P18" i="5"/>
  <c r="L17" i="5"/>
  <c r="N17" i="5"/>
  <c r="I17" i="5"/>
  <c r="M17" i="5"/>
  <c r="O17" i="5"/>
  <c r="P17" i="5"/>
  <c r="N16" i="5"/>
  <c r="I16" i="5"/>
  <c r="M16" i="5"/>
  <c r="O16" i="5"/>
  <c r="P16" i="5"/>
  <c r="L15" i="5"/>
  <c r="N15" i="5"/>
  <c r="I15" i="5"/>
  <c r="M15" i="5"/>
  <c r="O15" i="5"/>
  <c r="P15" i="5"/>
  <c r="L14" i="5"/>
  <c r="N14" i="5"/>
  <c r="I14" i="5"/>
  <c r="M14" i="5"/>
  <c r="O14" i="5"/>
  <c r="P14" i="5"/>
  <c r="L13" i="5"/>
  <c r="N13" i="5"/>
  <c r="I13" i="5"/>
  <c r="M13" i="5"/>
  <c r="O13" i="5"/>
  <c r="P13" i="5"/>
  <c r="N12" i="5"/>
  <c r="I12" i="5"/>
  <c r="M12" i="5"/>
  <c r="O12" i="5"/>
  <c r="P12" i="5"/>
  <c r="L11" i="5"/>
  <c r="N11" i="5"/>
  <c r="I11" i="5"/>
  <c r="M11" i="5"/>
  <c r="O11" i="5"/>
  <c r="P11" i="5"/>
  <c r="L10" i="5"/>
  <c r="N10" i="5"/>
  <c r="I10" i="5"/>
  <c r="M10" i="5"/>
  <c r="O10" i="5"/>
  <c r="P10" i="5"/>
  <c r="L9" i="5"/>
  <c r="N9" i="5"/>
  <c r="I9" i="5"/>
  <c r="M9" i="5"/>
  <c r="O9" i="5"/>
  <c r="P9" i="5"/>
  <c r="L8" i="5"/>
  <c r="N8" i="5"/>
  <c r="I8" i="5"/>
  <c r="M8" i="5"/>
  <c r="O8" i="5"/>
  <c r="P8" i="5"/>
  <c r="L7" i="5"/>
  <c r="N7" i="5"/>
  <c r="I7" i="5"/>
  <c r="M7" i="5"/>
  <c r="O7" i="5"/>
  <c r="P7" i="5"/>
  <c r="L6" i="5"/>
  <c r="N6" i="5"/>
  <c r="I6" i="5"/>
  <c r="M6" i="5"/>
  <c r="O6" i="5"/>
  <c r="P6" i="5"/>
  <c r="N5" i="5"/>
  <c r="I5" i="5"/>
  <c r="M5" i="5"/>
  <c r="O5" i="5"/>
  <c r="P5" i="5"/>
  <c r="L4" i="5"/>
  <c r="N4" i="5"/>
  <c r="I4" i="5"/>
  <c r="M4" i="5"/>
  <c r="O4" i="5"/>
  <c r="P4" i="5"/>
  <c r="M49" i="5"/>
  <c r="K49" i="5"/>
  <c r="L49" i="5"/>
  <c r="N49" i="5"/>
  <c r="O49" i="5"/>
  <c r="P49" i="5"/>
  <c r="O122" i="5"/>
  <c r="P122" i="5"/>
</calcChain>
</file>

<file path=xl/sharedStrings.xml><?xml version="1.0" encoding="utf-8"?>
<sst xmlns="http://schemas.openxmlformats.org/spreadsheetml/2006/main" count="4294961816" uniqueCount="494">
  <si>
    <t>Product Code</t>
  </si>
  <si>
    <t>Barcode</t>
  </si>
  <si>
    <t>Product</t>
  </si>
  <si>
    <t>Pack size</t>
  </si>
  <si>
    <t>Sell by</t>
  </si>
  <si>
    <t>BB</t>
  </si>
  <si>
    <t>Cases per pallet</t>
  </si>
  <si>
    <t>Units per case</t>
  </si>
  <si>
    <t>413817</t>
  </si>
  <si>
    <t>Lentil &amp; Quinoa Pop Chips – Creamy Cheddar</t>
  </si>
  <si>
    <t>85 g</t>
  </si>
  <si>
    <t>413807</t>
  </si>
  <si>
    <t>20 g</t>
  </si>
  <si>
    <t>413816</t>
  </si>
  <si>
    <t>Lentil &amp; Quinoa Pop Chips – BBQ</t>
  </si>
  <si>
    <t>413808</t>
  </si>
  <si>
    <t>6009207314341</t>
  </si>
  <si>
    <t>413819</t>
  </si>
  <si>
    <t>6009223668152</t>
  </si>
  <si>
    <t>Lentil &amp; Quinoa Pop Chips – Sour Cream and Chives</t>
  </si>
  <si>
    <t xml:space="preserve">85 g </t>
  </si>
  <si>
    <t>410810</t>
  </si>
  <si>
    <t>6005000288865</t>
  </si>
  <si>
    <t>HCC Sea Salt 50g</t>
  </si>
  <si>
    <t>50g</t>
  </si>
  <si>
    <t>410808</t>
  </si>
  <si>
    <t>6009184110455</t>
  </si>
  <si>
    <t>HCC Sea Salt 125g</t>
  </si>
  <si>
    <t>125g</t>
  </si>
  <si>
    <t>410807</t>
  </si>
  <si>
    <t>HCC Sea Salt &amp; Black Pepper 125g</t>
  </si>
  <si>
    <t>410811</t>
  </si>
  <si>
    <t>6005000895865</t>
  </si>
  <si>
    <t>HCC Sea Salt &amp; Black Pepper 50g</t>
  </si>
  <si>
    <t>410806</t>
  </si>
  <si>
    <t>HCC Sour Cream &amp; Chives 125g</t>
  </si>
  <si>
    <t>410812</t>
  </si>
  <si>
    <t>6009184110486</t>
  </si>
  <si>
    <t>HCC Rosemary &amp; Sea Salt 125g</t>
  </si>
  <si>
    <t>410819</t>
  </si>
  <si>
    <t>6009214098296</t>
  </si>
  <si>
    <t>HCC Rottisserie  Chicken 125g</t>
  </si>
  <si>
    <t>410809</t>
  </si>
  <si>
    <t>HCC roast lamb &amp; rosemary flavoured 125g</t>
  </si>
  <si>
    <t>410820</t>
  </si>
  <si>
    <t>HCC sea salt &amp; white balsamic vinegar flavoured 50g</t>
  </si>
  <si>
    <t>410802</t>
  </si>
  <si>
    <t>HCC sea salt &amp; white balsamic vinegar flavoured 125g</t>
  </si>
  <si>
    <t>410801</t>
  </si>
  <si>
    <t>HCC sriracha flavoured 125g</t>
  </si>
  <si>
    <t>410827</t>
  </si>
  <si>
    <t>HCC Parmesan &amp;Truffle 125g</t>
  </si>
  <si>
    <t>410823</t>
  </si>
  <si>
    <t>HCC Sweet &amp; Sticky Chilli 50g</t>
  </si>
  <si>
    <t>410824</t>
  </si>
  <si>
    <t>HCC Sweet &amp; Sticky Chilli 125g</t>
  </si>
  <si>
    <t>410821</t>
  </si>
  <si>
    <t>HCC Dijon Mustard 50g</t>
  </si>
  <si>
    <t>410822</t>
  </si>
  <si>
    <t>HCC Dijon Mustard 125g</t>
  </si>
  <si>
    <t>410825</t>
  </si>
  <si>
    <t xml:space="preserve">HCC Rotisserie chicken 50g </t>
  </si>
  <si>
    <t xml:space="preserve">50g </t>
  </si>
  <si>
    <t>410905</t>
  </si>
  <si>
    <t>HCS Sea Salt 50g</t>
  </si>
  <si>
    <t>410907</t>
  </si>
  <si>
    <t>6009173755087</t>
  </si>
  <si>
    <t>HCS Sea Salt 125g</t>
  </si>
  <si>
    <t>410901</t>
  </si>
  <si>
    <t>6009184110417</t>
  </si>
  <si>
    <t>HCS Sea Salt &amp; Black Pepper 125g</t>
  </si>
  <si>
    <t>410904</t>
  </si>
  <si>
    <t>6009173755056</t>
  </si>
  <si>
    <t>HCS Sour cream &amp; Red onion 50g</t>
  </si>
  <si>
    <t>410909</t>
  </si>
  <si>
    <t>HCS Sour cream &amp; Red onion 125g</t>
  </si>
  <si>
    <t>410911</t>
  </si>
  <si>
    <t>HCS sticky ribs with chilli flavoured 50g</t>
  </si>
  <si>
    <t>410913</t>
  </si>
  <si>
    <t>HCS sticky ribs with chilli flavoured 125g</t>
  </si>
  <si>
    <t>410916</t>
  </si>
  <si>
    <t>HCS sea salt &amp; white balsamic vinegar flavoured 50g</t>
  </si>
  <si>
    <t>410914</t>
  </si>
  <si>
    <t>HCS sea salt &amp; white balsamic vinegar flavoured 125g</t>
  </si>
  <si>
    <t>410912</t>
  </si>
  <si>
    <t>HCS Sour Cream &amp; Jalapeno 125 g</t>
  </si>
  <si>
    <t>410612</t>
  </si>
  <si>
    <t>6009223192367</t>
  </si>
  <si>
    <t>Prawn Cocktail mix 30 g</t>
  </si>
  <si>
    <t>30 g</t>
  </si>
  <si>
    <t>410611</t>
  </si>
  <si>
    <t>6009223192336</t>
  </si>
  <si>
    <t>Prawn Cocktail mix 100 g</t>
  </si>
  <si>
    <t>100 g</t>
  </si>
  <si>
    <t>410605</t>
  </si>
  <si>
    <t>Prawn Cocktail 30 g</t>
  </si>
  <si>
    <t>410604</t>
  </si>
  <si>
    <t>20024277</t>
  </si>
  <si>
    <t>Prawn Cocktail 125 g</t>
  </si>
  <si>
    <t>125 g</t>
  </si>
  <si>
    <t>410607</t>
  </si>
  <si>
    <t>6009175940382</t>
  </si>
  <si>
    <t xml:space="preserve">Streaky Crackle 30 g </t>
  </si>
  <si>
    <t>410602</t>
  </si>
  <si>
    <t>6009178477823</t>
  </si>
  <si>
    <t xml:space="preserve">Streaky Crackle 100 g </t>
  </si>
  <si>
    <t>410606</t>
  </si>
  <si>
    <t>6009175940399</t>
  </si>
  <si>
    <t xml:space="preserve">Sweet Onion Rings 75 g </t>
  </si>
  <si>
    <t>75 g</t>
  </si>
  <si>
    <t>410603</t>
  </si>
  <si>
    <t>6008000521604</t>
  </si>
  <si>
    <t xml:space="preserve">Salt &amp; Vinegar Onion Rings 75 g </t>
  </si>
  <si>
    <t>410601</t>
  </si>
  <si>
    <t>6009175940580</t>
  </si>
  <si>
    <t xml:space="preserve">Potato Fries Salt &amp; Vinegar 125 g </t>
  </si>
  <si>
    <t>410613</t>
  </si>
  <si>
    <t>6009223398301</t>
  </si>
  <si>
    <t xml:space="preserve">Potato Fries Salt &amp; Vinegar 30 g </t>
  </si>
  <si>
    <t>410404</t>
  </si>
  <si>
    <t>6009214098241</t>
  </si>
  <si>
    <t>Lentil Chips Sour Cream &amp; Chives Flavoured 40 g</t>
  </si>
  <si>
    <t>40 g</t>
  </si>
  <si>
    <t>410403</t>
  </si>
  <si>
    <t>6009214098258</t>
  </si>
  <si>
    <t>Lentil Chips Sour Cream &amp; Chives Flavoured100 g</t>
  </si>
  <si>
    <t>410406</t>
  </si>
  <si>
    <t>6009214098197</t>
  </si>
  <si>
    <t>Chickpea Chips Sweet Chilli Flavoured 40 g</t>
  </si>
  <si>
    <t>410405</t>
  </si>
  <si>
    <t>6009214098203</t>
  </si>
  <si>
    <t>Chickpea Chips Sweet Chilli Flavoured 100 g</t>
  </si>
  <si>
    <t>410407</t>
  </si>
  <si>
    <t>6009223567240</t>
  </si>
  <si>
    <t>Chickpea Chips Sea Salt &amp; Black Pepper Flavoured 100 g</t>
  </si>
  <si>
    <t>410402</t>
  </si>
  <si>
    <t>6009214098265</t>
  </si>
  <si>
    <t>Quinoa Chips BBQ Flavoured 40 g</t>
  </si>
  <si>
    <t>410401</t>
  </si>
  <si>
    <t>6009214098272</t>
  </si>
  <si>
    <t>Quinoa Chips BBQ Flavoured 100 g</t>
  </si>
  <si>
    <t>410408</t>
  </si>
  <si>
    <t>6009223567257</t>
  </si>
  <si>
    <t>Quinoa Chips Sea Salt Flavoured 100 g</t>
  </si>
  <si>
    <t>410409</t>
  </si>
  <si>
    <t>6009223567264</t>
  </si>
  <si>
    <t>Lentil Chips Creamy Cheddar Flavoured 100 g</t>
  </si>
  <si>
    <t>410614</t>
  </si>
  <si>
    <t>6009214296180</t>
  </si>
  <si>
    <t>Cocktail Mix Chip BBQ 100 g</t>
  </si>
  <si>
    <t>410610</t>
  </si>
  <si>
    <t>6009223187172</t>
  </si>
  <si>
    <t>Cocktail Mix Chip BBQ 30 g</t>
  </si>
  <si>
    <t>410617</t>
  </si>
  <si>
    <t>6007875204742</t>
  </si>
  <si>
    <t>Corn Crunch Cheddar Flavoured 100g</t>
  </si>
  <si>
    <t>411416</t>
  </si>
  <si>
    <t>Cheddar flavoured corn crunch 30 g</t>
  </si>
  <si>
    <t>30g</t>
  </si>
  <si>
    <t>410615</t>
  </si>
  <si>
    <t>6009233586453</t>
  </si>
  <si>
    <t xml:space="preserve">Tomato Crunch 100g </t>
  </si>
  <si>
    <t>100g</t>
  </si>
  <si>
    <t>411418</t>
  </si>
  <si>
    <t>Tomato flavoured corn crunch 30g</t>
  </si>
  <si>
    <t>410616</t>
  </si>
  <si>
    <t>6009233586460</t>
  </si>
  <si>
    <t>Jalapeno Crunch 100g</t>
  </si>
  <si>
    <t>411417</t>
  </si>
  <si>
    <t>Jalapeno Popper flavoured corn crunch 30g</t>
  </si>
  <si>
    <t>412005</t>
  </si>
  <si>
    <t>POPCORN - Caramel Coated 150 g</t>
  </si>
  <si>
    <t>150 g</t>
  </si>
  <si>
    <t>412003</t>
  </si>
  <si>
    <t>POPCORN - Sea Salt 90 g</t>
  </si>
  <si>
    <t>90 g</t>
  </si>
  <si>
    <t>412004</t>
  </si>
  <si>
    <t>6009189862700</t>
  </si>
  <si>
    <t>POPCORN - Salt &amp; Vinegar 90 g</t>
  </si>
  <si>
    <t>412002</t>
  </si>
  <si>
    <t>POPCORN - Sour Cream &amp; Chives 90 g</t>
  </si>
  <si>
    <t>412007</t>
  </si>
  <si>
    <t>6009195499853</t>
  </si>
  <si>
    <t>POPCORN - Sour Cream &amp; Chives 25 g</t>
  </si>
  <si>
    <t>25 g</t>
  </si>
  <si>
    <t>412001</t>
  </si>
  <si>
    <t>6009189862687</t>
  </si>
  <si>
    <t>POPCORN - White Cheddar 90 g</t>
  </si>
  <si>
    <t>412006</t>
  </si>
  <si>
    <t>POPCORN - White Cheddar 25 g</t>
  </si>
  <si>
    <t>412009</t>
  </si>
  <si>
    <t>6009223464297</t>
  </si>
  <si>
    <t>POPCORN - Feta &amp; Black Pepper 90 g</t>
  </si>
  <si>
    <t>412010</t>
  </si>
  <si>
    <t>6009223464303</t>
  </si>
  <si>
    <t>POPCORN - Jalapeno Atchar 90 g</t>
  </si>
  <si>
    <t>412011</t>
  </si>
  <si>
    <t>POPCORN - Butter Flavoured 90 g</t>
  </si>
  <si>
    <t>4172AH</t>
  </si>
  <si>
    <t>HP Feta &amp; Black Pepper 90 g - FG017</t>
  </si>
  <si>
    <t>N/A</t>
  </si>
  <si>
    <t>4172AK</t>
  </si>
  <si>
    <t>HP Cream Cheese &amp; Chives 90 g - FG015</t>
  </si>
  <si>
    <t>4172AL</t>
  </si>
  <si>
    <t>HP Cheesy Cheese 90 g - FG016</t>
  </si>
  <si>
    <t>4172AR</t>
  </si>
  <si>
    <t>HP Butter Flavour 90 g - FG020</t>
  </si>
  <si>
    <t>4172AJ</t>
  </si>
  <si>
    <t>HP Caramel Popcorn 150 g - FG019</t>
  </si>
  <si>
    <t>4172AN</t>
  </si>
  <si>
    <t>HP Caramel Popcorn 22 g x 4 - FG011</t>
  </si>
  <si>
    <t>22 g x 4</t>
  </si>
  <si>
    <t>4172AB</t>
  </si>
  <si>
    <t>HP Sweet &amp; Salty Popcorn 90g</t>
  </si>
  <si>
    <t>90g</t>
  </si>
  <si>
    <t>4165AJ</t>
  </si>
  <si>
    <t>6005574002812</t>
  </si>
  <si>
    <t>Field &amp; Flavour Tomato 120g</t>
  </si>
  <si>
    <t>120g</t>
  </si>
  <si>
    <t>4165AI</t>
  </si>
  <si>
    <t>6005574002829</t>
  </si>
  <si>
    <t>Field &amp; Flavour Smoked Beef 120g</t>
  </si>
  <si>
    <t>4165AK</t>
  </si>
  <si>
    <t>6005574002805</t>
  </si>
  <si>
    <t>Field &amp; Flavour Salt &amp; vinegar 120g</t>
  </si>
  <si>
    <t>4165AL</t>
  </si>
  <si>
    <t>6005574000467</t>
  </si>
  <si>
    <t>Field &amp; Flavour Cheese Flavoured 120g</t>
  </si>
  <si>
    <t>4165AM</t>
  </si>
  <si>
    <t>Field &amp; Flavour Lightly Salted Flavoured 120g</t>
  </si>
  <si>
    <t>4165AA</t>
  </si>
  <si>
    <t>KC Tomato Flavoured Chips 36 g</t>
  </si>
  <si>
    <t>36g</t>
  </si>
  <si>
    <t>4165AC</t>
  </si>
  <si>
    <t>KC Salt &amp; Vinegar Flavoured Chips 36 g</t>
  </si>
  <si>
    <t>4165AG</t>
  </si>
  <si>
    <t>KC Grilled Steak Flavoured Chips 36 g</t>
  </si>
  <si>
    <t>4165AB</t>
  </si>
  <si>
    <t>KC Tomato Flavoured Chips 120 g</t>
  </si>
  <si>
    <t>4165AD</t>
  </si>
  <si>
    <t>KC Salt &amp; Vinegar Flavoured Chips 120 g</t>
  </si>
  <si>
    <t>4165AH</t>
  </si>
  <si>
    <t>KC Grilled Steak Flavoured Chips 120 g</t>
  </si>
  <si>
    <t>4108AM</t>
  </si>
  <si>
    <t>KC Blazin'hot BBQ 36g (48)</t>
  </si>
  <si>
    <t>4108AO</t>
  </si>
  <si>
    <t>KC Blazin'hot BBQ 36g (24)</t>
  </si>
  <si>
    <t>4108AL</t>
  </si>
  <si>
    <t>KC Blazin'hot BBQ 120g (26)</t>
  </si>
  <si>
    <t>4108AN</t>
  </si>
  <si>
    <t>KC Blazin'hot BBQ 120g (12)</t>
  </si>
  <si>
    <t>4108AS</t>
  </si>
  <si>
    <t>6005574003505</t>
  </si>
  <si>
    <t>Blue Salt &amp; Vinegar (26)</t>
  </si>
  <si>
    <t>4108BC</t>
  </si>
  <si>
    <t>Blue Salt &amp; Vinegar (12)</t>
  </si>
  <si>
    <t>4108AR</t>
  </si>
  <si>
    <t>Salt &amp; Vinegar (26)</t>
  </si>
  <si>
    <t>4108BB</t>
  </si>
  <si>
    <t>Salt &amp; Vinegar (12)</t>
  </si>
  <si>
    <t>4108AQ</t>
  </si>
  <si>
    <t>Boerewors (26)</t>
  </si>
  <si>
    <t>4108BA</t>
  </si>
  <si>
    <t>Boerewors (12)</t>
  </si>
  <si>
    <t>4108AP</t>
  </si>
  <si>
    <t>Chutney (26)</t>
  </si>
  <si>
    <t>4108AZ</t>
  </si>
  <si>
    <t>Chutney (12)</t>
  </si>
  <si>
    <t>4108AT</t>
  </si>
  <si>
    <t>6009710723180</t>
  </si>
  <si>
    <t>Lay's KC Sea Salt &amp; Black Pepper 120 g</t>
  </si>
  <si>
    <t>4108AU</t>
  </si>
  <si>
    <t>6009710723159</t>
  </si>
  <si>
    <t>Lay's KC Sea Salt &amp; Black Pepper 30 g</t>
  </si>
  <si>
    <t>4108AV</t>
  </si>
  <si>
    <t>6009710723173</t>
  </si>
  <si>
    <t>Lay's KC Cheddar &amp; Cranberry 120 g</t>
  </si>
  <si>
    <t>4108AY</t>
  </si>
  <si>
    <t>6009710723142</t>
  </si>
  <si>
    <t>Lay's KC Cheddar &amp; Cranberry 30 g</t>
  </si>
  <si>
    <t>4108AW</t>
  </si>
  <si>
    <t>6009710723166</t>
  </si>
  <si>
    <t>Lay's KC Rib-Eye &amp; Mushroom 120 g</t>
  </si>
  <si>
    <t>4108AX</t>
  </si>
  <si>
    <t>6009710723135</t>
  </si>
  <si>
    <t>Lay's KC Rib-Eye &amp; Mushroom 30 g</t>
  </si>
  <si>
    <t>Quality Contracts and Product Specifiction Schedule</t>
  </si>
  <si>
    <t>Schedule</t>
  </si>
  <si>
    <t>Quality  Contract</t>
  </si>
  <si>
    <t xml:space="preserve">Lentil &amp; Quinoa Pop Chips – Sour Cream and Chives 85g
HCC Flame Grilled Steak 50g/125g
Prawn Cocktail mix 30g/100g
</t>
  </si>
  <si>
    <t xml:space="preserve">Prawn Cocktail 30g/100g
Corn Bugles Cheddar Flavoured 100g
HP Feta &amp; Black Pepper 90 g
HP Cream Cheese &amp; Chives 90 g
</t>
  </si>
  <si>
    <t>HP Cheesy Cheese 90 g
HP Butter Flavour 90 g
HP Caramel Popcorn 150 g</t>
  </si>
  <si>
    <t xml:space="preserve">HP Caramel Popcorn 22 g x 4
Field &amp; Flavour Cheese Flavoured 120g
Field &amp; Flavour Lightly Salted Flavoured 120g
</t>
  </si>
  <si>
    <t>Product Specification</t>
  </si>
  <si>
    <t xml:space="preserve">
Field &amp; Flavour Cheese Flavoured 120g
Field &amp; Flavour Lightly Salted Flavoured 120g
Field &amp; Flavour Tomato 120g
Field &amp; Flavour Smoked Beef 120g
</t>
  </si>
  <si>
    <t xml:space="preserve">Field &amp; Flavour Salt &amp; vinegar 120g
KC Tomato Flavoured Chips 36 g
KC Salt &amp; Vinegar Flavoured Chips 36 g
KC Grilled Steak Flavoured Chips 36 g
KC Tomato Flavoured Chips 120 g
</t>
  </si>
  <si>
    <t xml:space="preserve">KC Salt &amp; Vinegar Flavoured Chips 120 g
KC Grilled Steak Flavoured Chips 120 g
</t>
  </si>
  <si>
    <t>HP Feta &amp; Black Pepper 90 g
HP Cream Cheese &amp; Chives 90 g</t>
  </si>
  <si>
    <t>HP Caramel Popcorn 22 g x 4
Field &amp; Flavour Cheese Flavoured 120g
Field &amp; Flavour Lightly Salted Flavoured 120g</t>
  </si>
  <si>
    <t>Snacks finished Goods</t>
  </si>
  <si>
    <t>Date:</t>
  </si>
  <si>
    <t>Category</t>
  </si>
  <si>
    <t>Code</t>
  </si>
  <si>
    <t>Description</t>
  </si>
  <si>
    <t>Pallets</t>
  </si>
  <si>
    <t>Cases</t>
  </si>
  <si>
    <t>Other (retail plus)</t>
  </si>
  <si>
    <t>Total Warehouse Cases</t>
  </si>
  <si>
    <t>Frozen Stock Cases LL Freezer</t>
  </si>
  <si>
    <t>Frozen CCS Cases</t>
  </si>
  <si>
    <t>Frozen Stock Total Cases</t>
  </si>
  <si>
    <t>Warehouse units</t>
  </si>
  <si>
    <t>Total Freezer Units</t>
  </si>
  <si>
    <t>Total Units</t>
  </si>
  <si>
    <t>Check</t>
  </si>
  <si>
    <t>Thursday Production Units</t>
  </si>
  <si>
    <t>Varriences</t>
  </si>
  <si>
    <t>Film Field &amp; Flavour Tomato 120g</t>
  </si>
  <si>
    <t>Film Field &amp; Flavour Cheese 120g</t>
  </si>
  <si>
    <t>Film Field &amp; Flavour Smoked Beef 120g</t>
  </si>
  <si>
    <t>Film Field &amp; Flavour Salt &amp; vinegar 120g</t>
  </si>
  <si>
    <t>Film Field &amp; Flavour Lightly Salted 120g</t>
  </si>
  <si>
    <t>KC Blazin Hot BBQ Flavoured Potato Chips 36 g</t>
  </si>
  <si>
    <t>KC Blazin' Hot BBQ Flavoured 120g</t>
  </si>
  <si>
    <t>H/cooked</t>
  </si>
  <si>
    <t>Hc Crisp Sea Salt (125G) *</t>
  </si>
  <si>
    <t>Hc Rosemary/Salt (125G) *</t>
  </si>
  <si>
    <t>410814</t>
  </si>
  <si>
    <t>Hc Rosemary/Salt (50G) *</t>
  </si>
  <si>
    <t>Hc Rotiserrie Chicken (125G) *</t>
  </si>
  <si>
    <t>HCC Rotisserie Chicken 50g</t>
  </si>
  <si>
    <t>Hc Salt/Blk Pepper (125G) *</t>
  </si>
  <si>
    <t>Hc Salt/Blk Pepper (50G) *</t>
  </si>
  <si>
    <t>Hc Sea Salt (50G) *</t>
  </si>
  <si>
    <t>Hc Sour Cream (125G) *</t>
  </si>
  <si>
    <t>410804</t>
  </si>
  <si>
    <t>Hc Sour Cream (50G) *</t>
  </si>
  <si>
    <t>HCC Roast Lamb &amp; Rosemary 125g *</t>
  </si>
  <si>
    <t>410803</t>
  </si>
  <si>
    <t>HCC Roast Lamb &amp; Rosemary Flavoured 50g</t>
  </si>
  <si>
    <t>Salt &amp; White Balsamic Vinegar 125g (HC)</t>
  </si>
  <si>
    <t>Salt &amp; White Balsamic Vinegar 50g</t>
  </si>
  <si>
    <t>Sriracha 125g (HC)</t>
  </si>
  <si>
    <t>HCC Parmesan &amp; Truffle 125g</t>
  </si>
  <si>
    <t>HCC Sweet &amp; Sticky Ribs with Chilli 125g</t>
  </si>
  <si>
    <t>HCC Sweet &amp; Sticky Ribs with Chilli 50g</t>
  </si>
  <si>
    <t>Pellets</t>
  </si>
  <si>
    <t>Fries Salt/Vinegar (125G) *</t>
  </si>
  <si>
    <t>Fries Salt/Vinegar (30G) *</t>
  </si>
  <si>
    <t>Pellet Chips Chickpea Sour Cream (100G) *</t>
  </si>
  <si>
    <t>Pellet Chips Chickpea Sour Cream (40G) *</t>
  </si>
  <si>
    <t>Pellet Chips Cocktail Snack Mix BBQ Flavour (100g)</t>
  </si>
  <si>
    <t>Pellet Chips Cocktail Snack Mix BBQ Flavour (30g)</t>
  </si>
  <si>
    <t>Pellet Chips Hummus Sweet Chilli (100G) *</t>
  </si>
  <si>
    <t>Pellet Chips Hummus Sweet Chilli (40G) *</t>
  </si>
  <si>
    <t>Pellet Chips Prawn Cocktail (125G) *</t>
  </si>
  <si>
    <t>Pellet Chips Prawn Cocktail (30G) *</t>
  </si>
  <si>
    <t>Pellet Chips Prawn Cocktail Mix (100G) *</t>
  </si>
  <si>
    <t>Pellet Chips Prawn Cocktail Mix (30G) *</t>
  </si>
  <si>
    <t>Pellet Chips Quinoa Bbq (100G) *</t>
  </si>
  <si>
    <t>Pellet Chips Quinoa Bbq (40G) *</t>
  </si>
  <si>
    <t>Qinoa Chips Salted 100g</t>
  </si>
  <si>
    <t>Lentil Creamy Cheddar 100g</t>
  </si>
  <si>
    <t>Cick pea Chips Ssalt&amp; Black Pepper 100g</t>
  </si>
  <si>
    <t>Pellet Chips Rings Salt/Vinegar (75G) *</t>
  </si>
  <si>
    <t>Pellet Chips Rings Sweet Onion (75G) *</t>
  </si>
  <si>
    <t>Pellet Chips Streaky Crackles (100G) *</t>
  </si>
  <si>
    <t>Pellet Chips Streaky Crackles (30G) *</t>
  </si>
  <si>
    <t>Corn Crunch cheddar flavoured 100g</t>
  </si>
  <si>
    <t>Corn Crunch cheddar flavoured 30g</t>
  </si>
  <si>
    <t>Corn CrunchTomato 100g</t>
  </si>
  <si>
    <t>Corn Crunch Tomato Flavoured 30g</t>
  </si>
  <si>
    <t>Corn Crunch Jalapino popper 100g</t>
  </si>
  <si>
    <t>Corn Crunch Jalapeno popper  30g</t>
  </si>
  <si>
    <t>WW Popcorn</t>
  </si>
  <si>
    <t>Popcorn - Caramel Coated 150G</t>
  </si>
  <si>
    <t>Popcorn - Salt &amp; Vinegar 90G</t>
  </si>
  <si>
    <t>Popcorn - Sea Salt 90G</t>
  </si>
  <si>
    <t>Popcorn - Sour Cream &amp; Chives 25G</t>
  </si>
  <si>
    <t>Popcorn - Sour Cream &amp; Chives 90G</t>
  </si>
  <si>
    <t>Popcorn - White Cheddar 25G</t>
  </si>
  <si>
    <t>Popcorn - White Cheddar 90G</t>
  </si>
  <si>
    <t>POPCORN - Feta &amp; Black Pepper 90g</t>
  </si>
  <si>
    <t>POPCORN - Jalapeno Atchar 90g</t>
  </si>
  <si>
    <t>POPCORN -  Butter Flavoured 90g</t>
  </si>
  <si>
    <t>Sticks</t>
  </si>
  <si>
    <t>Stcks Red Onion (125G) *</t>
  </si>
  <si>
    <t>Sticks Red Onion (50G) *</t>
  </si>
  <si>
    <t>Sticks Salt/Blk Pepper (125G) *</t>
  </si>
  <si>
    <t>410903</t>
  </si>
  <si>
    <t>Sticks Salt/Blk Pepper (50G) *</t>
  </si>
  <si>
    <t>Jelapino&amp; Sour Cream 125g (HCS)</t>
  </si>
  <si>
    <t>410915</t>
  </si>
  <si>
    <t>Jelapino&amp; Sour Cream 50g (HCS)</t>
  </si>
  <si>
    <t>Salt &amp; White Balsamic Vinegar 125g(HCS)</t>
  </si>
  <si>
    <t>Salt &amp; White Balsamic Vinegar 50g(HCS)</t>
  </si>
  <si>
    <t>Sticky Smoke Ribs125g(HCS)</t>
  </si>
  <si>
    <t>Sticky Smoked Ribs 50g (HCS)</t>
  </si>
  <si>
    <t>HCS Sea salt 125g</t>
  </si>
  <si>
    <t>HCS Sea salt 50g</t>
  </si>
  <si>
    <t>WW Lentil &amp; Quinoa Pop Chips Beef BBQ (20g)</t>
  </si>
  <si>
    <t>WW Lentil &amp; Quinoa Pop Chips Beef BBQ (85g)</t>
  </si>
  <si>
    <t>WW Lentil &amp; Quinoa Pop Chips Creamy Cheddar (20g)</t>
  </si>
  <si>
    <t>WW Lentil &amp; Quinoa Pop Chips Creamy Cheddar (85g)</t>
  </si>
  <si>
    <t>WW lentil&amp; Quinoa Sour Cr &amp; Chives 85g</t>
  </si>
  <si>
    <t>Hoppity</t>
  </si>
  <si>
    <t>HP Butter Flavoured Popcorn 90G</t>
  </si>
  <si>
    <t>HPOP Caramel Popcorn 150G</t>
  </si>
  <si>
    <t>HPOP Caramel Strips (04) 22G</t>
  </si>
  <si>
    <t>HPOP Cheesy Cheese Popcorn 90G</t>
  </si>
  <si>
    <t>HPOP Cream Cheese &amp; Chives Popcorn 90G</t>
  </si>
  <si>
    <t>HPOP Feta &amp; Black Pepper Popcorn 90G</t>
  </si>
  <si>
    <t>HP Sweet &amp; Salty 90 g</t>
  </si>
  <si>
    <t>Bulls</t>
  </si>
  <si>
    <t>Bulls Chutney Flavoured Potato Chips 120g</t>
  </si>
  <si>
    <t>Bulls Boerewors Flavoured Potato Chips 120g</t>
  </si>
  <si>
    <t>Bulls Salt &amp; Vinegar Flavoured Potato Chips 120g</t>
  </si>
  <si>
    <t>Bulls Salt &amp; Vinegar Blue Potato Chips 120g</t>
  </si>
  <si>
    <t>12s &amp; 24s</t>
  </si>
  <si>
    <t>4108AF</t>
  </si>
  <si>
    <t>KC Salt &amp; Vinegar Flavoured Potato Chips 120 g (12)</t>
  </si>
  <si>
    <t>4108AG</t>
  </si>
  <si>
    <t>KC Tomato Flavoured Potato Chips 120 g (12)</t>
  </si>
  <si>
    <t>4108AH</t>
  </si>
  <si>
    <t>KC Grilled Steak Flavoured Potato Chips 120 g (12)</t>
  </si>
  <si>
    <t>KC Blazin Hot BBQ Flavoured Potato Chips 120g (12)</t>
  </si>
  <si>
    <t>4108AI</t>
  </si>
  <si>
    <t>KC Salt &amp; Vinegar Flavoured Potato Chips 36 g (24)</t>
  </si>
  <si>
    <t>4108AJ</t>
  </si>
  <si>
    <t>KC Tomato Flavoured Potato Chips 36 g (24)</t>
  </si>
  <si>
    <t>4108AK</t>
  </si>
  <si>
    <t>KC Grilled Steak Flavoured Potato Chips 36 g (24)</t>
  </si>
  <si>
    <t>KC Blazin Hot BBQ Flavoured Potato Chips 36g (24)</t>
  </si>
  <si>
    <t>4108AB</t>
  </si>
  <si>
    <t>F&amp;F Tomato Flavoured Potato Chips 120 g (12)</t>
  </si>
  <si>
    <t>4108AD</t>
  </si>
  <si>
    <t>F&amp;F Cheese Flavoured Potato Chips 120 g (12)</t>
  </si>
  <si>
    <t>4108AC</t>
  </si>
  <si>
    <t>F&amp;F Smoked Beef Flavoured Potato Chips 120 g (12)</t>
  </si>
  <si>
    <t>4108AA</t>
  </si>
  <si>
    <t>F&amp;F Salt &amp; Vinegar Flavoured Potato Chips 120 g (12)</t>
  </si>
  <si>
    <t>4108AE</t>
  </si>
  <si>
    <t>F&amp;F Lightly Salted Potato Chips 120 g (12)</t>
  </si>
  <si>
    <t>LAYS PC SLT &amp; BLACK PEPPR 120G BAG 20X</t>
  </si>
  <si>
    <t>LAYS PC SLT &amp; BLACK PEPPR 30G BAG 48X</t>
  </si>
  <si>
    <t>LAYS PC CHD &amp; MUSHROOM 120G BAG 20X</t>
  </si>
  <si>
    <t>LAYS PC CHD &amp; MUSHROOM 30G BAG 48X</t>
  </si>
  <si>
    <t>LAYS PC RIBEYE &amp; MUSHROOM 120G BAG 20X</t>
  </si>
  <si>
    <t>LAYS PC RIBEYE &amp; MUSHROOM 30G BAG 48X</t>
  </si>
  <si>
    <t>Bulls Chutney Flavoured Potato Chips 120 g (12)</t>
  </si>
  <si>
    <t>Bulls Boerewors Flavoured Potato Chips 120 g (12)</t>
  </si>
  <si>
    <t>Bulls S &amp; Vinegar Flavoured Potato Chip 120 g (12)</t>
  </si>
  <si>
    <t>Bulls S &amp; Vinegar Blue Potato Chips 120 g (12)</t>
  </si>
  <si>
    <t>Outer Barcode</t>
  </si>
  <si>
    <t>16009701000266</t>
  </si>
  <si>
    <t>16009701000242</t>
  </si>
  <si>
    <t>16009701000259</t>
  </si>
  <si>
    <t>16005574002000</t>
  </si>
  <si>
    <t>16009701000280</t>
  </si>
  <si>
    <t>16009701000020</t>
  </si>
  <si>
    <t>16005574000914</t>
  </si>
  <si>
    <t>16005574002819</t>
  </si>
  <si>
    <t>16005574002826</t>
  </si>
  <si>
    <t>16005574002802</t>
  </si>
  <si>
    <t>16005574003359</t>
  </si>
  <si>
    <t>16005574003366</t>
  </si>
  <si>
    <t>16005574002864</t>
  </si>
  <si>
    <t>16005574002840</t>
  </si>
  <si>
    <t>16005574002888</t>
  </si>
  <si>
    <t>16005574002857</t>
  </si>
  <si>
    <t>16005574002833</t>
  </si>
  <si>
    <t>16005574002871</t>
  </si>
  <si>
    <t>16005574003465</t>
  </si>
  <si>
    <t>26005574003462</t>
  </si>
  <si>
    <t>16005574003458</t>
  </si>
  <si>
    <t>26005574003455</t>
  </si>
  <si>
    <t>16005574003502</t>
  </si>
  <si>
    <t>26005574003509</t>
  </si>
  <si>
    <t>16005574003496</t>
  </si>
  <si>
    <t>26005574003493</t>
  </si>
  <si>
    <t>16005574003489</t>
  </si>
  <si>
    <t>26005574003486</t>
  </si>
  <si>
    <t>16005574003472</t>
  </si>
  <si>
    <t>26005574003479</t>
  </si>
  <si>
    <t>16009710723187</t>
  </si>
  <si>
    <t>16009710723156</t>
  </si>
  <si>
    <t>16009710723170</t>
  </si>
  <si>
    <t>16009710723149</t>
  </si>
  <si>
    <t>16009710723163</t>
  </si>
  <si>
    <t>16009710723132</t>
  </si>
  <si>
    <t>UNITS PER OUTER
ALL REGIONS</t>
  </si>
  <si>
    <t>TI</t>
  </si>
  <si>
    <t>HI</t>
  </si>
  <si>
    <t>TIHI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</si>
</sst>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D0D0D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" fillId="0" borderId="0"/>
    <xf numFmtId="164" fontId="5" fillId="0" borderId="0" applyFont="0" applyFill="0" applyBorder="0" applyAlignment="0" applyProtection="0"/>
  </cellStyleXfs>
  <cellXfs count="180">
    <xf numFmtId="0" fontId="0" fillId="0" borderId="0" xfId="0"/>
    <xf numFmtId="17" fontId="4" fillId="0" borderId="1" xfId="0" applyNumberFormat="1" applyFont="1" applyBorder="1" applyAlignment="1">
      <alignment horizontal="center"/>
    </xf>
    <xf numFmtId="17" fontId="4" fillId="0" borderId="2" xfId="0" applyNumberFormat="1" applyFont="1" applyBorder="1" applyAlignment="1">
      <alignment horizontal="center"/>
    </xf>
    <xf numFmtId="0" fontId="1" fillId="0" borderId="6" xfId="0" applyFont="1" applyBorder="1"/>
    <xf numFmtId="17" fontId="4" fillId="0" borderId="7" xfId="0" applyNumberFormat="1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0" fillId="2" borderId="7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7" xfId="0" applyBorder="1" applyAlignment="1">
      <alignment vertical="top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4" applyNumberFormat="1" applyFont="1"/>
    <xf numFmtId="165" fontId="7" fillId="0" borderId="0" xfId="4" applyNumberFormat="1" applyFont="1"/>
    <xf numFmtId="14" fontId="7" fillId="0" borderId="0" xfId="4" applyNumberFormat="1" applyFont="1"/>
    <xf numFmtId="165" fontId="8" fillId="0" borderId="8" xfId="4" applyNumberFormat="1" applyFont="1" applyBorder="1"/>
    <xf numFmtId="165" fontId="9" fillId="0" borderId="0" xfId="4" applyNumberFormat="1" applyFont="1"/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3" borderId="9" xfId="4" applyNumberFormat="1" applyFont="1" applyFill="1" applyBorder="1" applyAlignment="1">
      <alignment horizontal="center" vertical="center" wrapText="1"/>
    </xf>
    <xf numFmtId="165" fontId="10" fillId="3" borderId="9" xfId="4" applyNumberFormat="1" applyFont="1" applyFill="1" applyBorder="1" applyAlignment="1">
      <alignment horizontal="center" vertical="center" wrapText="1"/>
    </xf>
    <xf numFmtId="165" fontId="10" fillId="6" borderId="9" xfId="4" applyNumberFormat="1" applyFont="1" applyFill="1" applyBorder="1" applyAlignment="1">
      <alignment horizontal="center" vertical="center" wrapText="1"/>
    </xf>
    <xf numFmtId="165" fontId="10" fillId="7" borderId="9" xfId="4" applyNumberFormat="1" applyFont="1" applyFill="1" applyBorder="1" applyAlignment="1">
      <alignment horizontal="center" vertical="center" wrapText="1"/>
    </xf>
    <xf numFmtId="165" fontId="9" fillId="0" borderId="9" xfId="4" applyNumberFormat="1" applyFont="1" applyBorder="1" applyAlignment="1">
      <alignment horizontal="center" vertical="center"/>
    </xf>
    <xf numFmtId="165" fontId="9" fillId="8" borderId="9" xfId="4" applyNumberFormat="1" applyFont="1" applyFill="1" applyBorder="1" applyAlignment="1">
      <alignment horizontal="center" vertical="center" wrapText="1"/>
    </xf>
    <xf numFmtId="165" fontId="10" fillId="9" borderId="9" xfId="4" applyNumberFormat="1" applyFont="1" applyFill="1" applyBorder="1" applyAlignment="1">
      <alignment horizontal="center" vertical="center" wrapText="1"/>
    </xf>
    <xf numFmtId="49" fontId="0" fillId="10" borderId="11" xfId="0" applyNumberFormat="1" applyFill="1" applyBorder="1" applyAlignment="1">
      <alignment horizontal="center"/>
    </xf>
    <xf numFmtId="0" fontId="0" fillId="10" borderId="11" xfId="0" applyFill="1" applyBorder="1"/>
    <xf numFmtId="0" fontId="11" fillId="0" borderId="11" xfId="0" applyFont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7" fillId="8" borderId="11" xfId="4" applyNumberFormat="1" applyFont="1" applyFill="1" applyBorder="1" applyAlignment="1">
      <alignment horizontal="center"/>
    </xf>
    <xf numFmtId="0" fontId="11" fillId="11" borderId="11" xfId="0" applyFont="1" applyFill="1" applyBorder="1" applyAlignment="1">
      <alignment horizontal="center"/>
    </xf>
    <xf numFmtId="165" fontId="11" fillId="0" borderId="11" xfId="4" applyNumberFormat="1" applyFont="1" applyBorder="1"/>
    <xf numFmtId="165" fontId="11" fillId="8" borderId="11" xfId="4" applyNumberFormat="1" applyFont="1" applyFill="1" applyBorder="1"/>
    <xf numFmtId="165" fontId="7" fillId="0" borderId="11" xfId="4" applyNumberFormat="1" applyFont="1" applyBorder="1"/>
    <xf numFmtId="165" fontId="7" fillId="8" borderId="11" xfId="4" applyNumberFormat="1" applyFont="1" applyFill="1" applyBorder="1"/>
    <xf numFmtId="165" fontId="10" fillId="8" borderId="12" xfId="4" applyNumberFormat="1" applyFont="1" applyFill="1" applyBorder="1"/>
    <xf numFmtId="49" fontId="0" fillId="12" borderId="11" xfId="0" applyNumberFormat="1" applyFill="1" applyBorder="1" applyAlignment="1">
      <alignment horizontal="center"/>
    </xf>
    <xf numFmtId="0" fontId="0" fillId="12" borderId="11" xfId="0" applyFill="1" applyBorder="1"/>
    <xf numFmtId="49" fontId="0" fillId="13" borderId="11" xfId="0" applyNumberFormat="1" applyFill="1" applyBorder="1" applyAlignment="1">
      <alignment horizontal="center"/>
    </xf>
    <xf numFmtId="0" fontId="0" fillId="13" borderId="11" xfId="0" applyFill="1" applyBorder="1"/>
    <xf numFmtId="49" fontId="0" fillId="9" borderId="11" xfId="0" applyNumberFormat="1" applyFill="1" applyBorder="1" applyAlignment="1">
      <alignment horizontal="center"/>
    </xf>
    <xf numFmtId="0" fontId="0" fillId="9" borderId="11" xfId="0" applyFill="1" applyBorder="1"/>
    <xf numFmtId="49" fontId="0" fillId="14" borderId="11" xfId="0" applyNumberFormat="1" applyFill="1" applyBorder="1" applyAlignment="1">
      <alignment horizontal="center"/>
    </xf>
    <xf numFmtId="0" fontId="0" fillId="14" borderId="11" xfId="0" applyFill="1" applyBorder="1"/>
    <xf numFmtId="49" fontId="0" fillId="15" borderId="11" xfId="0" applyNumberFormat="1" applyFill="1" applyBorder="1" applyAlignment="1">
      <alignment horizontal="center"/>
    </xf>
    <xf numFmtId="0" fontId="0" fillId="15" borderId="11" xfId="0" applyFill="1" applyBorder="1"/>
    <xf numFmtId="49" fontId="0" fillId="16" borderId="11" xfId="0" applyNumberFormat="1" applyFill="1" applyBorder="1" applyAlignment="1">
      <alignment horizontal="center"/>
    </xf>
    <xf numFmtId="0" fontId="0" fillId="16" borderId="11" xfId="0" applyFill="1" applyBorder="1"/>
    <xf numFmtId="49" fontId="0" fillId="16" borderId="14" xfId="0" applyNumberFormat="1" applyFill="1" applyBorder="1" applyAlignment="1">
      <alignment horizontal="center"/>
    </xf>
    <xf numFmtId="0" fontId="0" fillId="16" borderId="14" xfId="0" applyFill="1" applyBorder="1"/>
    <xf numFmtId="0" fontId="11" fillId="0" borderId="14" xfId="0" applyFont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7" fillId="8" borderId="14" xfId="4" applyNumberFormat="1" applyFont="1" applyFill="1" applyBorder="1" applyAlignment="1">
      <alignment horizontal="center"/>
    </xf>
    <xf numFmtId="0" fontId="11" fillId="11" borderId="14" xfId="0" applyFont="1" applyFill="1" applyBorder="1" applyAlignment="1">
      <alignment horizontal="center"/>
    </xf>
    <xf numFmtId="165" fontId="11" fillId="8" borderId="14" xfId="4" applyNumberFormat="1" applyFont="1" applyFill="1" applyBorder="1"/>
    <xf numFmtId="165" fontId="11" fillId="0" borderId="14" xfId="4" applyNumberFormat="1" applyFont="1" applyBorder="1"/>
    <xf numFmtId="165" fontId="7" fillId="0" borderId="14" xfId="4" applyNumberFormat="1" applyFont="1" applyBorder="1"/>
    <xf numFmtId="165" fontId="7" fillId="8" borderId="14" xfId="4" applyNumberFormat="1" applyFont="1" applyFill="1" applyBorder="1"/>
    <xf numFmtId="165" fontId="10" fillId="8" borderId="15" xfId="4" applyNumberFormat="1" applyFont="1" applyFill="1" applyBorder="1"/>
    <xf numFmtId="49" fontId="7" fillId="0" borderId="17" xfId="0" quotePrefix="1" applyNumberFormat="1" applyFont="1" applyBorder="1" applyAlignment="1">
      <alignment horizontal="center"/>
    </xf>
    <xf numFmtId="0" fontId="11" fillId="0" borderId="17" xfId="0" applyFont="1" applyBorder="1"/>
    <xf numFmtId="0" fontId="11" fillId="0" borderId="17" xfId="0" applyFont="1" applyBorder="1" applyAlignment="1">
      <alignment horizontal="center"/>
    </xf>
    <xf numFmtId="0" fontId="11" fillId="8" borderId="17" xfId="0" applyFont="1" applyFill="1" applyBorder="1" applyAlignment="1">
      <alignment horizontal="center"/>
    </xf>
    <xf numFmtId="0" fontId="7" fillId="8" borderId="17" xfId="4" applyNumberFormat="1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/>
    </xf>
    <xf numFmtId="165" fontId="11" fillId="8" borderId="17" xfId="4" applyNumberFormat="1" applyFont="1" applyFill="1" applyBorder="1"/>
    <xf numFmtId="165" fontId="11" fillId="0" borderId="17" xfId="4" applyNumberFormat="1" applyFont="1" applyBorder="1"/>
    <xf numFmtId="165" fontId="7" fillId="0" borderId="17" xfId="4" applyNumberFormat="1" applyFont="1" applyBorder="1"/>
    <xf numFmtId="165" fontId="7" fillId="8" borderId="17" xfId="4" applyNumberFormat="1" applyFont="1" applyFill="1" applyBorder="1"/>
    <xf numFmtId="165" fontId="10" fillId="8" borderId="18" xfId="4" applyNumberFormat="1" applyFont="1" applyFill="1" applyBorder="1"/>
    <xf numFmtId="49" fontId="7" fillId="0" borderId="11" xfId="0" quotePrefix="1" applyNumberFormat="1" applyFont="1" applyBorder="1" applyAlignment="1">
      <alignment horizontal="center"/>
    </xf>
    <xf numFmtId="0" fontId="11" fillId="0" borderId="11" xfId="0" applyFont="1" applyBorder="1"/>
    <xf numFmtId="49" fontId="7" fillId="0" borderId="11" xfId="0" applyNumberFormat="1" applyFont="1" applyBorder="1" applyAlignment="1">
      <alignment horizontal="center"/>
    </xf>
    <xf numFmtId="0" fontId="7" fillId="0" borderId="11" xfId="0" applyFont="1" applyBorder="1"/>
    <xf numFmtId="49" fontId="7" fillId="0" borderId="14" xfId="0" quotePrefix="1" applyNumberFormat="1" applyFont="1" applyBorder="1" applyAlignment="1">
      <alignment horizontal="center"/>
    </xf>
    <xf numFmtId="0" fontId="11" fillId="0" borderId="14" xfId="0" applyFont="1" applyBorder="1"/>
    <xf numFmtId="49" fontId="7" fillId="0" borderId="19" xfId="0" quotePrefix="1" applyNumberFormat="1" applyFont="1" applyBorder="1" applyAlignment="1">
      <alignment horizontal="center"/>
    </xf>
    <xf numFmtId="0" fontId="11" fillId="0" borderId="19" xfId="0" applyFont="1" applyBorder="1"/>
    <xf numFmtId="0" fontId="11" fillId="0" borderId="19" xfId="0" applyFont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7" fillId="8" borderId="19" xfId="4" applyNumberFormat="1" applyFont="1" applyFill="1" applyBorder="1" applyAlignment="1">
      <alignment horizontal="center"/>
    </xf>
    <xf numFmtId="0" fontId="11" fillId="11" borderId="19" xfId="0" applyFont="1" applyFill="1" applyBorder="1" applyAlignment="1">
      <alignment horizontal="center"/>
    </xf>
    <xf numFmtId="165" fontId="11" fillId="8" borderId="19" xfId="4" applyNumberFormat="1" applyFont="1" applyFill="1" applyBorder="1"/>
    <xf numFmtId="165" fontId="11" fillId="0" borderId="19" xfId="4" applyNumberFormat="1" applyFont="1" applyBorder="1"/>
    <xf numFmtId="165" fontId="7" fillId="0" borderId="19" xfId="4" applyNumberFormat="1" applyFont="1" applyBorder="1"/>
    <xf numFmtId="165" fontId="7" fillId="8" borderId="19" xfId="4" applyNumberFormat="1" applyFont="1" applyFill="1" applyBorder="1"/>
    <xf numFmtId="165" fontId="10" fillId="8" borderId="19" xfId="4" applyNumberFormat="1" applyFont="1" applyFill="1" applyBorder="1"/>
    <xf numFmtId="165" fontId="10" fillId="8" borderId="11" xfId="4" applyNumberFormat="1" applyFont="1" applyFill="1" applyBorder="1"/>
    <xf numFmtId="0" fontId="9" fillId="0" borderId="9" xfId="0" applyFont="1" applyBorder="1" applyAlignment="1">
      <alignment horizontal="center" vertical="center" textRotation="45"/>
    </xf>
    <xf numFmtId="49" fontId="7" fillId="0" borderId="9" xfId="0" quotePrefix="1" applyNumberFormat="1" applyFont="1" applyBorder="1" applyAlignment="1">
      <alignment horizontal="center"/>
    </xf>
    <xf numFmtId="0" fontId="11" fillId="0" borderId="9" xfId="0" applyFont="1" applyBorder="1"/>
    <xf numFmtId="0" fontId="11" fillId="0" borderId="9" xfId="0" applyFont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7" fillId="8" borderId="9" xfId="4" applyNumberFormat="1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165" fontId="11" fillId="8" borderId="9" xfId="4" applyNumberFormat="1" applyFont="1" applyFill="1" applyBorder="1"/>
    <xf numFmtId="165" fontId="11" fillId="0" borderId="9" xfId="4" applyNumberFormat="1" applyFont="1" applyBorder="1"/>
    <xf numFmtId="165" fontId="7" fillId="0" borderId="9" xfId="4" applyNumberFormat="1" applyFont="1" applyBorder="1"/>
    <xf numFmtId="165" fontId="7" fillId="8" borderId="9" xfId="4" applyNumberFormat="1" applyFont="1" applyFill="1" applyBorder="1"/>
    <xf numFmtId="165" fontId="10" fillId="8" borderId="9" xfId="4" applyNumberFormat="1" applyFont="1" applyFill="1" applyBorder="1"/>
    <xf numFmtId="49" fontId="7" fillId="0" borderId="11" xfId="0" quotePrefix="1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/>
    </xf>
    <xf numFmtId="0" fontId="7" fillId="8" borderId="20" xfId="4" applyNumberFormat="1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49" fontId="7" fillId="5" borderId="17" xfId="0" quotePrefix="1" applyNumberFormat="1" applyFont="1" applyFill="1" applyBorder="1" applyAlignment="1">
      <alignment horizontal="center"/>
    </xf>
    <xf numFmtId="0" fontId="11" fillId="5" borderId="17" xfId="0" applyFont="1" applyFill="1" applyBorder="1"/>
    <xf numFmtId="49" fontId="7" fillId="5" borderId="11" xfId="0" quotePrefix="1" applyNumberFormat="1" applyFont="1" applyFill="1" applyBorder="1" applyAlignment="1">
      <alignment horizontal="center"/>
    </xf>
    <xf numFmtId="0" fontId="11" fillId="5" borderId="11" xfId="0" applyFont="1" applyFill="1" applyBorder="1"/>
    <xf numFmtId="49" fontId="7" fillId="5" borderId="14" xfId="0" quotePrefix="1" applyNumberFormat="1" applyFont="1" applyFill="1" applyBorder="1" applyAlignment="1">
      <alignment horizontal="center"/>
    </xf>
    <xf numFmtId="0" fontId="11" fillId="5" borderId="14" xfId="0" applyFont="1" applyFill="1" applyBorder="1"/>
    <xf numFmtId="49" fontId="0" fillId="0" borderId="19" xfId="0" quotePrefix="1" applyNumberFormat="1" applyBorder="1" applyAlignment="1">
      <alignment horizontal="center"/>
    </xf>
    <xf numFmtId="0" fontId="0" fillId="0" borderId="19" xfId="0" applyBorder="1" applyProtection="1">
      <protection hidden="1"/>
    </xf>
    <xf numFmtId="0" fontId="0" fillId="0" borderId="19" xfId="0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7" fillId="11" borderId="19" xfId="0" applyFont="1" applyFill="1" applyBorder="1" applyAlignment="1">
      <alignment horizontal="center"/>
    </xf>
    <xf numFmtId="165" fontId="10" fillId="8" borderId="23" xfId="4" applyNumberFormat="1" applyFont="1" applyFill="1" applyBorder="1"/>
    <xf numFmtId="49" fontId="12" fillId="15" borderId="11" xfId="0" quotePrefix="1" applyNumberFormat="1" applyFont="1" applyFill="1" applyBorder="1" applyAlignment="1">
      <alignment horizontal="center"/>
    </xf>
    <xf numFmtId="0" fontId="0" fillId="15" borderId="11" xfId="0" applyFill="1" applyBorder="1" applyProtection="1">
      <protection hidden="1"/>
    </xf>
    <xf numFmtId="0" fontId="0" fillId="0" borderId="11" xfId="0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/>
    </xf>
    <xf numFmtId="49" fontId="0" fillId="15" borderId="11" xfId="0" quotePrefix="1" applyNumberFormat="1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49" fontId="0" fillId="3" borderId="11" xfId="0" quotePrefix="1" applyNumberFormat="1" applyFill="1" applyBorder="1" applyAlignment="1">
      <alignment horizontal="center"/>
    </xf>
    <xf numFmtId="0" fontId="0" fillId="3" borderId="11" xfId="0" applyFill="1" applyBorder="1" applyProtection="1">
      <protection hidden="1"/>
    </xf>
    <xf numFmtId="0" fontId="7" fillId="0" borderId="11" xfId="0" applyFont="1" applyBorder="1" applyAlignment="1" applyProtection="1">
      <alignment horizontal="center"/>
      <protection locked="0"/>
    </xf>
    <xf numFmtId="49" fontId="0" fillId="11" borderId="11" xfId="0" quotePrefix="1" applyNumberFormat="1" applyFill="1" applyBorder="1" applyAlignment="1">
      <alignment horizontal="center"/>
    </xf>
    <xf numFmtId="0" fontId="0" fillId="11" borderId="11" xfId="0" applyFill="1" applyBorder="1" applyProtection="1">
      <protection hidden="1"/>
    </xf>
    <xf numFmtId="1" fontId="7" fillId="8" borderId="11" xfId="4" applyNumberFormat="1" applyFont="1" applyFill="1" applyBorder="1" applyAlignment="1">
      <alignment horizontal="center"/>
    </xf>
    <xf numFmtId="49" fontId="12" fillId="11" borderId="9" xfId="0" quotePrefix="1" applyNumberFormat="1" applyFont="1" applyFill="1" applyBorder="1" applyAlignment="1">
      <alignment horizontal="center"/>
    </xf>
    <xf numFmtId="0" fontId="0" fillId="11" borderId="9" xfId="0" applyFill="1" applyBorder="1" applyProtection="1">
      <protection hidden="1"/>
    </xf>
    <xf numFmtId="0" fontId="0" fillId="17" borderId="9" xfId="0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165" fontId="10" fillId="8" borderId="24" xfId="4" applyNumberFormat="1" applyFont="1" applyFill="1" applyBorder="1"/>
    <xf numFmtId="49" fontId="12" fillId="2" borderId="16" xfId="0" quotePrefix="1" applyNumberFormat="1" applyFont="1" applyFill="1" applyBorder="1" applyAlignment="1">
      <alignment horizontal="center"/>
    </xf>
    <xf numFmtId="0" fontId="0" fillId="2" borderId="17" xfId="0" applyFill="1" applyBorder="1" applyProtection="1">
      <protection hidden="1"/>
    </xf>
    <xf numFmtId="0" fontId="0" fillId="17" borderId="17" xfId="0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11" borderId="17" xfId="0" applyFont="1" applyFill="1" applyBorder="1" applyAlignment="1">
      <alignment horizontal="center"/>
    </xf>
    <xf numFmtId="49" fontId="12" fillId="2" borderId="10" xfId="0" quotePrefix="1" applyNumberFormat="1" applyFont="1" applyFill="1" applyBorder="1" applyAlignment="1">
      <alignment horizontal="center"/>
    </xf>
    <xf numFmtId="0" fontId="0" fillId="2" borderId="11" xfId="0" applyFill="1" applyBorder="1" applyProtection="1">
      <protection hidden="1"/>
    </xf>
    <xf numFmtId="49" fontId="12" fillId="2" borderId="13" xfId="0" quotePrefix="1" applyNumberFormat="1" applyFont="1" applyFill="1" applyBorder="1" applyAlignment="1">
      <alignment horizontal="center"/>
    </xf>
    <xf numFmtId="0" fontId="0" fillId="2" borderId="14" xfId="0" applyFill="1" applyBorder="1" applyProtection="1">
      <protection hidden="1"/>
    </xf>
    <xf numFmtId="0" fontId="0" fillId="17" borderId="14" xfId="0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0" borderId="19" xfId="0" applyFont="1" applyBorder="1"/>
    <xf numFmtId="0" fontId="7" fillId="0" borderId="19" xfId="0" applyFont="1" applyBorder="1" applyAlignment="1">
      <alignment horizontal="center"/>
    </xf>
    <xf numFmtId="0" fontId="7" fillId="0" borderId="19" xfId="4" applyNumberFormat="1" applyFont="1" applyBorder="1"/>
    <xf numFmtId="165" fontId="7" fillId="0" borderId="26" xfId="4" applyNumberFormat="1" applyFont="1" applyBorder="1"/>
    <xf numFmtId="165" fontId="7" fillId="0" borderId="27" xfId="4" applyNumberFormat="1" applyFont="1" applyBorder="1"/>
    <xf numFmtId="165" fontId="7" fillId="0" borderId="28" xfId="4" applyNumberFormat="1" applyFont="1" applyBorder="1"/>
    <xf numFmtId="165" fontId="7" fillId="0" borderId="29" xfId="4" applyNumberFormat="1" applyFont="1" applyBorder="1"/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textRotation="45"/>
    </xf>
    <xf numFmtId="0" fontId="9" fillId="0" borderId="10" xfId="0" applyFont="1" applyBorder="1" applyAlignment="1">
      <alignment horizontal="center" vertical="center" textRotation="45"/>
    </xf>
    <xf numFmtId="0" fontId="9" fillId="0" borderId="13" xfId="0" applyFont="1" applyBorder="1" applyAlignment="1">
      <alignment horizontal="center" vertical="center" textRotation="45"/>
    </xf>
    <xf numFmtId="0" fontId="9" fillId="0" borderId="22" xfId="0" applyFont="1" applyBorder="1" applyAlignment="1">
      <alignment horizontal="center" vertical="center" textRotation="45"/>
    </xf>
    <xf numFmtId="0" fontId="9" fillId="0" borderId="25" xfId="0" applyFont="1" applyBorder="1" applyAlignment="1">
      <alignment horizontal="center" vertical="center" textRotation="45"/>
    </xf>
    <xf numFmtId="0" fontId="9" fillId="0" borderId="10" xfId="0" applyFont="1" applyBorder="1" applyAlignment="1">
      <alignment horizontal="center" vertical="center" textRotation="45" wrapText="1"/>
    </xf>
    <xf numFmtId="0" fontId="9" fillId="0" borderId="13" xfId="0" applyFont="1" applyBorder="1" applyAlignment="1">
      <alignment horizontal="center" vertical="center" textRotation="45" wrapText="1"/>
    </xf>
    <xf numFmtId="0" fontId="9" fillId="0" borderId="19" xfId="0" applyFont="1" applyBorder="1" applyAlignment="1">
      <alignment horizontal="center" vertical="center" textRotation="45"/>
    </xf>
    <xf numFmtId="0" fontId="9" fillId="0" borderId="11" xfId="0" applyFont="1" applyBorder="1" applyAlignment="1">
      <alignment horizontal="center" vertical="center" textRotation="45"/>
    </xf>
    <xf numFmtId="0" fontId="9" fillId="0" borderId="9" xfId="0" applyFont="1" applyBorder="1" applyAlignment="1">
      <alignment horizontal="center" vertical="center" textRotation="45"/>
    </xf>
    <xf numFmtId="0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left" indent="1"/>
    </xf>
    <xf numFmtId="0" fontId="1" fillId="0" borderId="0" xfId="0" applyFont="1" applyAlignment="1">
      <alignment horizontal="center" vertical="center" wrapText="1"/>
    </xf>
  </cellXfs>
  <cellStyles count="5">
    <cellStyle name="Comma 2 2" xfId="4" xr:uid="{101432EE-FABA-47AD-8699-B4F86F9D693B}"/>
    <cellStyle name="Normal" xfId="0" builtinId="0"/>
    <cellStyle name="Normal 2" xfId="1" xr:uid="{DC986236-AACF-40CA-B68C-92212DA2BA97}"/>
    <cellStyle name="Normal 2 2 4" xfId="3" xr:uid="{C1CD230C-B74B-4059-824C-7EB2C05200BF}"/>
    <cellStyle name="Normal 3 2" xfId="2" xr:uid="{2992846D-9C5B-430E-B86B-1E19BDEF506D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vfin2food-my.sharepoint.com/personal/sibusiso_makhonjwa_in2food_co_za/Documents/BENONI%20GROCERIES%20%20SNACKS%20PRICE%20FILE%20WEEK%2006.xlsx" TargetMode="External"/><Relationship Id="rId1" Type="http://schemas.openxmlformats.org/officeDocument/2006/relationships/externalLinkPath" Target="BENONI%20GROCERIES%20%20SNACKS%20PRICE%20FILE%20WEEK%20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nacks"/>
      <sheetName val="Benoni - Snacks Factory"/>
      <sheetName val="Benoni - Groceries Factory "/>
      <sheetName val="Eliminations this week"/>
    </sheetNames>
    <sheetDataSet>
      <sheetData sheetId="0">
        <row r="1">
          <cell r="B1" t="str">
            <v>PRODUCT
CODE</v>
          </cell>
          <cell r="C1" t="str">
            <v>BARCODE</v>
          </cell>
          <cell r="D1" t="str">
            <v>PRODUCTS</v>
          </cell>
          <cell r="E1" t="str">
            <v>WEIGHT</v>
          </cell>
          <cell r="F1" t="str">
            <v>UNITS PER OUTER
ALL REGIONS</v>
          </cell>
          <cell r="G1" t="str">
            <v>TI</v>
          </cell>
          <cell r="H1" t="str">
            <v>HI</v>
          </cell>
          <cell r="I1" t="str">
            <v>TIHI</v>
          </cell>
        </row>
        <row r="2">
          <cell r="B2">
            <v>410810</v>
          </cell>
          <cell r="C2">
            <v>6005000288865</v>
          </cell>
          <cell r="D2" t="str">
            <v>HCC Sea Salt 50 g</v>
          </cell>
          <cell r="E2" t="str">
            <v>50 g</v>
          </cell>
          <cell r="F2" t="str">
            <v>24 / Outer Case</v>
          </cell>
          <cell r="G2">
            <v>6</v>
          </cell>
          <cell r="H2">
            <v>7</v>
          </cell>
          <cell r="I2">
            <v>42</v>
          </cell>
        </row>
        <row r="3">
          <cell r="B3">
            <v>410808</v>
          </cell>
          <cell r="C3">
            <v>6009184110455</v>
          </cell>
          <cell r="D3" t="str">
            <v xml:space="preserve">HCC Sea Salt 125 g </v>
          </cell>
          <cell r="E3" t="str">
            <v>125 g</v>
          </cell>
          <cell r="F3" t="str">
            <v>26 / Outer Case</v>
          </cell>
          <cell r="G3">
            <v>5</v>
          </cell>
          <cell r="H3">
            <v>4</v>
          </cell>
          <cell r="I3">
            <v>20</v>
          </cell>
        </row>
        <row r="4">
          <cell r="B4">
            <v>410807</v>
          </cell>
          <cell r="C4">
            <v>6009184110462</v>
          </cell>
          <cell r="D4" t="str">
            <v xml:space="preserve">HCC Sea Salt &amp; Cracked Black Pepper 125 g </v>
          </cell>
          <cell r="E4" t="str">
            <v>125 g</v>
          </cell>
          <cell r="F4" t="str">
            <v>26  / Outer Case</v>
          </cell>
          <cell r="G4">
            <v>5</v>
          </cell>
          <cell r="H4">
            <v>4</v>
          </cell>
          <cell r="I4">
            <v>20</v>
          </cell>
        </row>
        <row r="5">
          <cell r="B5">
            <v>410806</v>
          </cell>
          <cell r="C5">
            <v>6009184110479</v>
          </cell>
          <cell r="D5" t="str">
            <v xml:space="preserve">HCC Sour Cream &amp; Chives 125 g </v>
          </cell>
          <cell r="E5" t="str">
            <v>125 g</v>
          </cell>
          <cell r="F5" t="str">
            <v>26  / Outer Case</v>
          </cell>
          <cell r="G5">
            <v>5</v>
          </cell>
          <cell r="H5">
            <v>4</v>
          </cell>
          <cell r="I5">
            <v>20</v>
          </cell>
        </row>
        <row r="6">
          <cell r="B6">
            <v>410812</v>
          </cell>
          <cell r="C6">
            <v>6009184110486</v>
          </cell>
          <cell r="D6" t="str">
            <v xml:space="preserve">HCC Rosemary &amp; Sea Salt 125 g </v>
          </cell>
          <cell r="E6" t="str">
            <v>125 g</v>
          </cell>
          <cell r="F6" t="str">
            <v>26  / Outer Case</v>
          </cell>
          <cell r="G6">
            <v>5</v>
          </cell>
          <cell r="H6">
            <v>4</v>
          </cell>
          <cell r="I6">
            <v>20</v>
          </cell>
        </row>
        <row r="7">
          <cell r="B7">
            <v>410819</v>
          </cell>
          <cell r="C7">
            <v>6009214098296</v>
          </cell>
          <cell r="D7" t="str">
            <v>HCC Rotisserie Chicken 125g</v>
          </cell>
          <cell r="E7" t="str">
            <v>125 g</v>
          </cell>
          <cell r="F7" t="str">
            <v>26  / Outer Case</v>
          </cell>
          <cell r="G7">
            <v>5</v>
          </cell>
          <cell r="H7">
            <v>4</v>
          </cell>
          <cell r="I7">
            <v>20</v>
          </cell>
        </row>
        <row r="8">
          <cell r="B8">
            <v>410809</v>
          </cell>
          <cell r="C8">
            <v>6009226480089</v>
          </cell>
          <cell r="D8" t="str">
            <v xml:space="preserve">HCC Roast Lamb &amp; Rosemary with Caramelised Onions 125 g </v>
          </cell>
          <cell r="E8" t="str">
            <v>125 g</v>
          </cell>
          <cell r="F8" t="str">
            <v>26 / Outer Case</v>
          </cell>
          <cell r="G8">
            <v>5</v>
          </cell>
          <cell r="H8">
            <v>4</v>
          </cell>
          <cell r="I8">
            <v>20</v>
          </cell>
        </row>
        <row r="9">
          <cell r="B9">
            <v>410820</v>
          </cell>
          <cell r="C9">
            <v>6009226451577</v>
          </cell>
          <cell r="D9" t="str">
            <v>HCC Salt &amp; White Balsamic Vinegar 50 g</v>
          </cell>
          <cell r="E9" t="str">
            <v>50 g</v>
          </cell>
          <cell r="F9" t="str">
            <v>24 / Outer Case</v>
          </cell>
          <cell r="G9">
            <v>6</v>
          </cell>
          <cell r="H9">
            <v>7</v>
          </cell>
          <cell r="I9">
            <v>42</v>
          </cell>
        </row>
        <row r="10">
          <cell r="B10">
            <v>410802</v>
          </cell>
          <cell r="C10">
            <v>6009226478611</v>
          </cell>
          <cell r="D10" t="str">
            <v>HCC Salt &amp; White Balsamic Vinegar 125 g</v>
          </cell>
          <cell r="E10" t="str">
            <v>125 g</v>
          </cell>
          <cell r="F10" t="str">
            <v>26 / Outer Case</v>
          </cell>
          <cell r="G10">
            <v>5</v>
          </cell>
          <cell r="H10">
            <v>4</v>
          </cell>
          <cell r="I10">
            <v>20</v>
          </cell>
        </row>
        <row r="11">
          <cell r="B11">
            <v>410801</v>
          </cell>
          <cell r="C11">
            <v>6009226462993</v>
          </cell>
          <cell r="D11" t="str">
            <v>HCC Sriracha 125 g</v>
          </cell>
          <cell r="E11" t="str">
            <v>125 g</v>
          </cell>
          <cell r="F11" t="str">
            <v>26 / Outer Case</v>
          </cell>
          <cell r="G11">
            <v>5</v>
          </cell>
          <cell r="H11">
            <v>4</v>
          </cell>
          <cell r="I11">
            <v>20</v>
          </cell>
        </row>
        <row r="12">
          <cell r="B12">
            <v>410827</v>
          </cell>
          <cell r="C12">
            <v>6009245410159</v>
          </cell>
          <cell r="D12" t="str">
            <v>HCC Parmesan &amp; Truffle 125g</v>
          </cell>
          <cell r="E12" t="str">
            <v>125 g</v>
          </cell>
          <cell r="F12" t="str">
            <v>26 / Outer Case</v>
          </cell>
          <cell r="G12">
            <v>5</v>
          </cell>
          <cell r="H12">
            <v>4</v>
          </cell>
          <cell r="I12">
            <v>20</v>
          </cell>
        </row>
        <row r="13">
          <cell r="B13">
            <v>410823</v>
          </cell>
          <cell r="C13">
            <v>6009245410104</v>
          </cell>
          <cell r="D13" t="str">
            <v>HCC Sweet &amp; Sticky Ribs with Chilli 50g</v>
          </cell>
          <cell r="E13" t="str">
            <v>50 g</v>
          </cell>
          <cell r="F13" t="str">
            <v>24 / Outer Case</v>
          </cell>
          <cell r="G13">
            <v>6</v>
          </cell>
          <cell r="H13">
            <v>7</v>
          </cell>
          <cell r="I13">
            <v>42</v>
          </cell>
        </row>
        <row r="14">
          <cell r="B14">
            <v>410824</v>
          </cell>
          <cell r="C14">
            <v>6009245410111</v>
          </cell>
          <cell r="D14" t="str">
            <v>HCC Sweet &amp; Sticky Ribs with Chilli 125g</v>
          </cell>
          <cell r="E14" t="str">
            <v>125 g</v>
          </cell>
          <cell r="F14" t="str">
            <v>26 / Outer Case</v>
          </cell>
          <cell r="G14">
            <v>5</v>
          </cell>
          <cell r="H14">
            <v>4</v>
          </cell>
          <cell r="I14">
            <v>20</v>
          </cell>
        </row>
        <row r="15">
          <cell r="B15">
            <v>410821</v>
          </cell>
          <cell r="C15">
            <v>6009245410081</v>
          </cell>
          <cell r="D15" t="str">
            <v>HCC Dijon Mustard 50g</v>
          </cell>
          <cell r="E15" t="str">
            <v>50 g</v>
          </cell>
          <cell r="F15" t="str">
            <v>24 / Outer Case</v>
          </cell>
          <cell r="G15">
            <v>6</v>
          </cell>
          <cell r="H15">
            <v>7</v>
          </cell>
          <cell r="I15">
            <v>42</v>
          </cell>
        </row>
        <row r="16">
          <cell r="B16">
            <v>410822</v>
          </cell>
          <cell r="C16">
            <v>6009245410098</v>
          </cell>
          <cell r="D16" t="str">
            <v>HCC Dijon Mustard 125g</v>
          </cell>
          <cell r="E16" t="str">
            <v>125 g</v>
          </cell>
          <cell r="F16" t="str">
            <v>26 / Outer Case</v>
          </cell>
          <cell r="G16">
            <v>5</v>
          </cell>
          <cell r="H16">
            <v>4</v>
          </cell>
          <cell r="I16">
            <v>20</v>
          </cell>
        </row>
        <row r="17">
          <cell r="B17">
            <v>410811</v>
          </cell>
          <cell r="C17">
            <v>6005000895865</v>
          </cell>
          <cell r="D17" t="str">
            <v xml:space="preserve">HCC Sea Salt &amp; Cracked Black Pepper 50 g </v>
          </cell>
          <cell r="E17" t="str">
            <v>50 g</v>
          </cell>
          <cell r="F17" t="str">
            <v>24 / Outer Case</v>
          </cell>
          <cell r="G17">
            <v>6</v>
          </cell>
          <cell r="H17">
            <v>7</v>
          </cell>
          <cell r="I17">
            <v>42</v>
          </cell>
        </row>
        <row r="18">
          <cell r="B18">
            <v>410825</v>
          </cell>
          <cell r="C18">
            <v>6009245410128</v>
          </cell>
          <cell r="D18" t="str">
            <v>HCC Rotisserie Chicken 50g</v>
          </cell>
          <cell r="E18" t="str">
            <v>50 g</v>
          </cell>
          <cell r="F18" t="str">
            <v>24 / Outer Case</v>
          </cell>
          <cell r="G18">
            <v>6</v>
          </cell>
          <cell r="H18">
            <v>7</v>
          </cell>
          <cell r="I18">
            <v>42</v>
          </cell>
        </row>
        <row r="20">
          <cell r="B20">
            <v>410905</v>
          </cell>
          <cell r="C20">
            <v>6009173755049</v>
          </cell>
          <cell r="D20" t="str">
            <v>HCS Sea Salt 50 g</v>
          </cell>
          <cell r="E20" t="str">
            <v>50 g</v>
          </cell>
          <cell r="F20" t="str">
            <v>42 / Outer Case</v>
          </cell>
          <cell r="G20">
            <v>6</v>
          </cell>
          <cell r="H20">
            <v>7</v>
          </cell>
          <cell r="I20">
            <v>42</v>
          </cell>
        </row>
        <row r="21">
          <cell r="B21">
            <v>410907</v>
          </cell>
          <cell r="C21">
            <v>6009173755087</v>
          </cell>
          <cell r="D21" t="str">
            <v xml:space="preserve">HCS Sea Salt 125 g </v>
          </cell>
          <cell r="E21" t="str">
            <v>125 g</v>
          </cell>
          <cell r="F21" t="str">
            <v>16 / Outer Case</v>
          </cell>
          <cell r="G21">
            <v>6</v>
          </cell>
          <cell r="H21">
            <v>7</v>
          </cell>
          <cell r="I21">
            <v>42</v>
          </cell>
        </row>
        <row r="22">
          <cell r="B22">
            <v>410901</v>
          </cell>
          <cell r="C22">
            <v>6009184110417</v>
          </cell>
          <cell r="D22" t="str">
            <v xml:space="preserve">HCS Sea Salt &amp; Cracked Black Pepper 125 g </v>
          </cell>
          <cell r="E22" t="str">
            <v>125 g</v>
          </cell>
          <cell r="F22" t="str">
            <v>16 / Outer Case</v>
          </cell>
          <cell r="G22">
            <v>6</v>
          </cell>
          <cell r="H22">
            <v>7</v>
          </cell>
          <cell r="I22">
            <v>42</v>
          </cell>
        </row>
        <row r="23">
          <cell r="B23">
            <v>410904</v>
          </cell>
          <cell r="C23">
            <v>6009173755056</v>
          </cell>
          <cell r="D23" t="str">
            <v xml:space="preserve">HCS Sour cream &amp; Red onion 50 g </v>
          </cell>
          <cell r="E23" t="str">
            <v>50 g</v>
          </cell>
          <cell r="F23" t="str">
            <v>42 / Outer Case</v>
          </cell>
          <cell r="G23">
            <v>6</v>
          </cell>
          <cell r="H23">
            <v>7</v>
          </cell>
          <cell r="I23">
            <v>42</v>
          </cell>
        </row>
        <row r="24">
          <cell r="B24">
            <v>410909</v>
          </cell>
          <cell r="C24">
            <v>6009211697836</v>
          </cell>
          <cell r="D24" t="str">
            <v xml:space="preserve">HCS Sour cream &amp; Red onion 125 g </v>
          </cell>
          <cell r="E24" t="str">
            <v>125 g</v>
          </cell>
          <cell r="F24" t="str">
            <v>16 / Outer Case</v>
          </cell>
          <cell r="G24">
            <v>6</v>
          </cell>
          <cell r="H24">
            <v>7</v>
          </cell>
          <cell r="I24">
            <v>42</v>
          </cell>
        </row>
        <row r="25">
          <cell r="B25">
            <v>410916</v>
          </cell>
          <cell r="C25">
            <v>6009226652455</v>
          </cell>
          <cell r="D25" t="str">
            <v>HCS Salt &amp; White Balsamic Vinegar 50 g</v>
          </cell>
          <cell r="E25" t="str">
            <v>50 g</v>
          </cell>
          <cell r="F25" t="str">
            <v>42 / Outer Case</v>
          </cell>
          <cell r="G25">
            <v>6</v>
          </cell>
          <cell r="H25">
            <v>7</v>
          </cell>
          <cell r="I25">
            <v>42</v>
          </cell>
        </row>
        <row r="26">
          <cell r="B26">
            <v>410914</v>
          </cell>
          <cell r="C26">
            <v>6009226478628</v>
          </cell>
          <cell r="D26" t="str">
            <v>HCS Salt &amp; White Balsamic Vinegar 125 g</v>
          </cell>
          <cell r="E26" t="str">
            <v>125 g</v>
          </cell>
          <cell r="F26" t="str">
            <v>16 / Outer Case</v>
          </cell>
          <cell r="G26">
            <v>6</v>
          </cell>
          <cell r="H26">
            <v>7</v>
          </cell>
          <cell r="I26">
            <v>42</v>
          </cell>
        </row>
        <row r="27">
          <cell r="B27">
            <v>410911</v>
          </cell>
          <cell r="C27">
            <v>6009226451560</v>
          </cell>
          <cell r="D27" t="str">
            <v>HCS Sweet &amp; Sticky 50g</v>
          </cell>
          <cell r="E27" t="str">
            <v>50 g</v>
          </cell>
          <cell r="F27" t="str">
            <v>42 / Outer Case</v>
          </cell>
          <cell r="G27">
            <v>6</v>
          </cell>
          <cell r="H27">
            <v>7</v>
          </cell>
          <cell r="I27">
            <v>42</v>
          </cell>
        </row>
        <row r="28">
          <cell r="B28">
            <v>410913</v>
          </cell>
          <cell r="C28">
            <v>6009226462986</v>
          </cell>
          <cell r="D28" t="str">
            <v>HCS Sweet &amp; Sticky 125g</v>
          </cell>
          <cell r="E28" t="str">
            <v>125 g</v>
          </cell>
          <cell r="F28" t="str">
            <v>16 / Outer Case</v>
          </cell>
          <cell r="G28">
            <v>6</v>
          </cell>
          <cell r="H28">
            <v>7</v>
          </cell>
          <cell r="I28">
            <v>42</v>
          </cell>
        </row>
        <row r="29">
          <cell r="B29">
            <v>410912</v>
          </cell>
          <cell r="C29">
            <v>6009226451584</v>
          </cell>
          <cell r="D29" t="str">
            <v>HCS Jalapeno and Sour Cream 125 g</v>
          </cell>
          <cell r="E29" t="str">
            <v>125 g</v>
          </cell>
          <cell r="F29" t="str">
            <v>16 / Outer Case</v>
          </cell>
          <cell r="G29">
            <v>6</v>
          </cell>
          <cell r="H29">
            <v>7</v>
          </cell>
          <cell r="I29">
            <v>42</v>
          </cell>
        </row>
        <row r="31">
          <cell r="B31">
            <v>410605</v>
          </cell>
          <cell r="C31">
            <v>6009175940368</v>
          </cell>
          <cell r="D31" t="str">
            <v xml:space="preserve">Prawn Cocktail 30 g </v>
          </cell>
          <cell r="E31" t="str">
            <v>30 g</v>
          </cell>
          <cell r="F31" t="str">
            <v>48 / Outer Case</v>
          </cell>
          <cell r="G31">
            <v>6</v>
          </cell>
          <cell r="H31">
            <v>5</v>
          </cell>
          <cell r="I31">
            <v>30</v>
          </cell>
        </row>
        <row r="32">
          <cell r="B32">
            <v>410604</v>
          </cell>
          <cell r="C32">
            <v>20024277</v>
          </cell>
          <cell r="D32" t="str">
            <v xml:space="preserve">Prawn Cocktail 125g </v>
          </cell>
          <cell r="E32" t="str">
            <v>125 g</v>
          </cell>
          <cell r="F32" t="str">
            <v>20 / Outer Case</v>
          </cell>
          <cell r="G32">
            <v>5</v>
          </cell>
          <cell r="H32">
            <v>4</v>
          </cell>
          <cell r="I32">
            <v>20</v>
          </cell>
        </row>
        <row r="33">
          <cell r="B33">
            <v>410612</v>
          </cell>
          <cell r="C33">
            <v>6009223192367</v>
          </cell>
          <cell r="D33" t="str">
            <v>Prawn Cocktail mix 30 g</v>
          </cell>
          <cell r="E33" t="str">
            <v>30 g</v>
          </cell>
          <cell r="F33" t="str">
            <v>48 / Outer Case</v>
          </cell>
          <cell r="G33">
            <v>6</v>
          </cell>
          <cell r="H33">
            <v>5</v>
          </cell>
          <cell r="I33">
            <v>30</v>
          </cell>
        </row>
        <row r="34">
          <cell r="B34">
            <v>410611</v>
          </cell>
          <cell r="C34">
            <v>6009223192336</v>
          </cell>
          <cell r="D34" t="str">
            <v>Prawn Cocktail mix 100 g</v>
          </cell>
          <cell r="E34" t="str">
            <v>100 g</v>
          </cell>
          <cell r="F34" t="str">
            <v>20 / Outer Case</v>
          </cell>
          <cell r="G34">
            <v>5</v>
          </cell>
          <cell r="H34">
            <v>4</v>
          </cell>
          <cell r="I34">
            <v>20</v>
          </cell>
        </row>
        <row r="35">
          <cell r="B35">
            <v>410607</v>
          </cell>
          <cell r="C35">
            <v>6009175940382</v>
          </cell>
          <cell r="D35" t="str">
            <v xml:space="preserve">Streaky Crackle 30 g </v>
          </cell>
          <cell r="E35" t="str">
            <v>30 g</v>
          </cell>
          <cell r="F35" t="str">
            <v>48 / Outer Case</v>
          </cell>
          <cell r="G35">
            <v>6</v>
          </cell>
          <cell r="H35">
            <v>5</v>
          </cell>
          <cell r="I35">
            <v>30</v>
          </cell>
        </row>
        <row r="36">
          <cell r="B36">
            <v>410602</v>
          </cell>
          <cell r="C36">
            <v>6009178477823</v>
          </cell>
          <cell r="D36" t="str">
            <v xml:space="preserve">Streaky Crackle 100 g </v>
          </cell>
          <cell r="E36" t="str">
            <v>100 g</v>
          </cell>
          <cell r="F36" t="str">
            <v>20 / Outer Case</v>
          </cell>
          <cell r="G36">
            <v>5</v>
          </cell>
          <cell r="H36">
            <v>4</v>
          </cell>
          <cell r="I36">
            <v>20</v>
          </cell>
        </row>
        <row r="37">
          <cell r="B37">
            <v>410606</v>
          </cell>
          <cell r="C37">
            <v>6009175940399</v>
          </cell>
          <cell r="D37" t="str">
            <v xml:space="preserve">Sweet Onion Rings 75 g </v>
          </cell>
          <cell r="E37" t="str">
            <v>75 g</v>
          </cell>
          <cell r="F37" t="str">
            <v>20 / Outer Case</v>
          </cell>
          <cell r="G37">
            <v>5</v>
          </cell>
          <cell r="H37">
            <v>4</v>
          </cell>
          <cell r="I37">
            <v>20</v>
          </cell>
        </row>
        <row r="38">
          <cell r="B38">
            <v>410603</v>
          </cell>
          <cell r="C38">
            <v>6008000521604</v>
          </cell>
          <cell r="D38" t="str">
            <v xml:space="preserve">Salt &amp; Vinegar Onion Rings 75 g </v>
          </cell>
          <cell r="E38" t="str">
            <v>75 g</v>
          </cell>
          <cell r="F38" t="str">
            <v>20 / Outer Case</v>
          </cell>
          <cell r="G38">
            <v>5</v>
          </cell>
          <cell r="H38">
            <v>4</v>
          </cell>
          <cell r="I38">
            <v>20</v>
          </cell>
        </row>
        <row r="39">
          <cell r="B39">
            <v>410601</v>
          </cell>
          <cell r="C39">
            <v>6009175940580</v>
          </cell>
          <cell r="D39" t="str">
            <v xml:space="preserve">Potato Fries Salt &amp; Vinegar 125 g </v>
          </cell>
          <cell r="E39" t="str">
            <v>125 g</v>
          </cell>
          <cell r="F39" t="str">
            <v>20 / Outer Case</v>
          </cell>
          <cell r="G39">
            <v>5</v>
          </cell>
          <cell r="H39">
            <v>4</v>
          </cell>
          <cell r="I39">
            <v>20</v>
          </cell>
        </row>
        <row r="40">
          <cell r="B40">
            <v>410613</v>
          </cell>
          <cell r="C40">
            <v>6009223398301</v>
          </cell>
          <cell r="D40" t="str">
            <v xml:space="preserve">Potato Fries Salt &amp; Vinegar 30 g </v>
          </cell>
          <cell r="E40" t="str">
            <v>30 g</v>
          </cell>
          <cell r="F40" t="str">
            <v>48 / Outer Case</v>
          </cell>
          <cell r="G40">
            <v>6</v>
          </cell>
          <cell r="H40">
            <v>5</v>
          </cell>
          <cell r="I40">
            <v>30</v>
          </cell>
        </row>
        <row r="41">
          <cell r="B41">
            <v>410614</v>
          </cell>
          <cell r="C41">
            <v>6009214296180</v>
          </cell>
          <cell r="D41" t="str">
            <v>Cocktail Mix Chip BBQ 100 g</v>
          </cell>
          <cell r="E41" t="str">
            <v>100 g</v>
          </cell>
          <cell r="F41" t="str">
            <v>20 / Outer Case</v>
          </cell>
          <cell r="G41">
            <v>5</v>
          </cell>
          <cell r="H41">
            <v>4</v>
          </cell>
          <cell r="I41">
            <v>20</v>
          </cell>
        </row>
        <row r="42">
          <cell r="B42">
            <v>410610</v>
          </cell>
          <cell r="C42">
            <v>6009223187172</v>
          </cell>
          <cell r="D42" t="str">
            <v>Cocktail Mix Chip BBQ 30 g</v>
          </cell>
          <cell r="E42" t="str">
            <v>30 g</v>
          </cell>
          <cell r="F42" t="str">
            <v>48 / Outer Case</v>
          </cell>
          <cell r="G42">
            <v>6</v>
          </cell>
          <cell r="H42">
            <v>5</v>
          </cell>
          <cell r="I42">
            <v>35</v>
          </cell>
        </row>
        <row r="43">
          <cell r="B43">
            <v>410404</v>
          </cell>
          <cell r="C43">
            <v>6009214098241</v>
          </cell>
          <cell r="D43" t="str">
            <v>Lentil Chips Sour Cream &amp; Chives Flavoured 40 g</v>
          </cell>
          <cell r="E43" t="str">
            <v>40 g</v>
          </cell>
          <cell r="F43" t="str">
            <v>45 / Outer Case</v>
          </cell>
          <cell r="G43">
            <v>6</v>
          </cell>
          <cell r="H43">
            <v>5</v>
          </cell>
          <cell r="I43">
            <v>30</v>
          </cell>
        </row>
        <row r="44">
          <cell r="B44">
            <v>410403</v>
          </cell>
          <cell r="C44">
            <v>6009214098258</v>
          </cell>
          <cell r="D44" t="str">
            <v>Lentil Chips Sour Cream &amp; Chives Flavoured100 g</v>
          </cell>
          <cell r="E44" t="str">
            <v>100 g</v>
          </cell>
          <cell r="F44" t="str">
            <v>20 / Outer Case</v>
          </cell>
          <cell r="G44">
            <v>5</v>
          </cell>
          <cell r="H44">
            <v>4</v>
          </cell>
          <cell r="I44">
            <v>20</v>
          </cell>
        </row>
        <row r="45">
          <cell r="B45">
            <v>410406</v>
          </cell>
          <cell r="C45">
            <v>6009214098197</v>
          </cell>
          <cell r="D45" t="str">
            <v>Chickpea Chips Sweet Chilli Flavoured 40 g</v>
          </cell>
          <cell r="E45" t="str">
            <v>40 g</v>
          </cell>
          <cell r="F45" t="str">
            <v>45 / Outer Case</v>
          </cell>
          <cell r="G45">
            <v>6</v>
          </cell>
          <cell r="H45">
            <v>5</v>
          </cell>
          <cell r="I45">
            <v>30</v>
          </cell>
        </row>
        <row r="46">
          <cell r="B46">
            <v>410405</v>
          </cell>
          <cell r="C46">
            <v>6009214098203</v>
          </cell>
          <cell r="D46" t="str">
            <v>Chickpea Chips Sweet Chilli Flavoured 100 g</v>
          </cell>
          <cell r="E46" t="str">
            <v>100 g</v>
          </cell>
          <cell r="F46" t="str">
            <v>20 / Outer Case</v>
          </cell>
          <cell r="G46">
            <v>5</v>
          </cell>
          <cell r="H46">
            <v>4</v>
          </cell>
          <cell r="I46">
            <v>20</v>
          </cell>
        </row>
        <row r="47">
          <cell r="B47">
            <v>410407</v>
          </cell>
          <cell r="C47">
            <v>6009223567240</v>
          </cell>
          <cell r="D47" t="str">
            <v>Chickpea Chips Sea Salt &amp; Black Pepper Flavoured 100 g</v>
          </cell>
          <cell r="E47" t="str">
            <v>100 g</v>
          </cell>
          <cell r="F47" t="str">
            <v>20 / Outer Case</v>
          </cell>
          <cell r="G47">
            <v>5</v>
          </cell>
          <cell r="H47">
            <v>4</v>
          </cell>
          <cell r="I47">
            <v>20</v>
          </cell>
        </row>
        <row r="48">
          <cell r="B48">
            <v>410402</v>
          </cell>
          <cell r="C48">
            <v>6009214098265</v>
          </cell>
          <cell r="D48" t="str">
            <v>Quinoa Chips BBQ Flavoured 40 g</v>
          </cell>
          <cell r="E48" t="str">
            <v>40 g</v>
          </cell>
          <cell r="F48" t="str">
            <v>45 / Outer Case</v>
          </cell>
          <cell r="G48">
            <v>6</v>
          </cell>
          <cell r="H48">
            <v>5</v>
          </cell>
          <cell r="I48">
            <v>30</v>
          </cell>
        </row>
        <row r="49">
          <cell r="B49">
            <v>410401</v>
          </cell>
          <cell r="C49">
            <v>6009214098272</v>
          </cell>
          <cell r="D49" t="str">
            <v>Quinoa Chips BBQ Flavoured 100 g</v>
          </cell>
          <cell r="E49" t="str">
            <v>100 g</v>
          </cell>
          <cell r="F49" t="str">
            <v>20 / Outer Case</v>
          </cell>
          <cell r="G49">
            <v>5</v>
          </cell>
          <cell r="H49">
            <v>4</v>
          </cell>
          <cell r="I49">
            <v>20</v>
          </cell>
        </row>
        <row r="50">
          <cell r="B50">
            <v>410408</v>
          </cell>
          <cell r="C50">
            <v>6009223567257</v>
          </cell>
          <cell r="D50" t="str">
            <v>Quinoa Chips Sea Salt Flavoured 100 g</v>
          </cell>
          <cell r="E50" t="str">
            <v>100 g</v>
          </cell>
          <cell r="F50" t="str">
            <v>20 / Outer Case</v>
          </cell>
          <cell r="G50">
            <v>5</v>
          </cell>
          <cell r="H50">
            <v>4</v>
          </cell>
          <cell r="I50">
            <v>20</v>
          </cell>
        </row>
        <row r="51">
          <cell r="B51">
            <v>410409</v>
          </cell>
          <cell r="C51">
            <v>6009223567264</v>
          </cell>
          <cell r="D51" t="str">
            <v>Lentil Chips Creamy Cheddar Flavoured 100 g</v>
          </cell>
          <cell r="E51" t="str">
            <v>100 g</v>
          </cell>
          <cell r="F51" t="str">
            <v>20 / Outer Case</v>
          </cell>
          <cell r="G51">
            <v>5</v>
          </cell>
          <cell r="H51">
            <v>4</v>
          </cell>
          <cell r="I51">
            <v>20</v>
          </cell>
        </row>
        <row r="52">
          <cell r="B52">
            <v>410617</v>
          </cell>
          <cell r="C52">
            <v>6007875204742</v>
          </cell>
          <cell r="D52" t="str">
            <v>Cheddar flavoured corn crunch 100 g</v>
          </cell>
          <cell r="E52" t="str">
            <v>100 g</v>
          </cell>
          <cell r="F52" t="str">
            <v>20 / Outer Case</v>
          </cell>
          <cell r="G52">
            <v>5</v>
          </cell>
          <cell r="H52">
            <v>4</v>
          </cell>
          <cell r="I52">
            <v>20</v>
          </cell>
        </row>
        <row r="53">
          <cell r="B53">
            <v>410615</v>
          </cell>
          <cell r="C53">
            <v>6009233586453</v>
          </cell>
          <cell r="D53" t="str">
            <v>Tomato flavoured corn corn crunch 100g</v>
          </cell>
          <cell r="E53" t="str">
            <v>100 g</v>
          </cell>
          <cell r="F53" t="str">
            <v>20 / Outer Case</v>
          </cell>
          <cell r="G53">
            <v>5</v>
          </cell>
          <cell r="H53">
            <v>4</v>
          </cell>
          <cell r="I53">
            <v>20</v>
          </cell>
        </row>
        <row r="54">
          <cell r="B54">
            <v>410616</v>
          </cell>
          <cell r="C54">
            <v>6009233586460</v>
          </cell>
          <cell r="D54" t="str">
            <v>Jalapeno Popper flavoured corn corn crunch 100g</v>
          </cell>
          <cell r="E54" t="str">
            <v>100 g</v>
          </cell>
          <cell r="F54" t="str">
            <v>20 / Outer Case</v>
          </cell>
          <cell r="G54">
            <v>5</v>
          </cell>
          <cell r="H54">
            <v>4</v>
          </cell>
          <cell r="I54">
            <v>20</v>
          </cell>
        </row>
        <row r="55">
          <cell r="B55">
            <v>411416</v>
          </cell>
          <cell r="C55">
            <v>6009233586477</v>
          </cell>
          <cell r="D55" t="str">
            <v>Cheddar flavoured corn crunch 30 g</v>
          </cell>
          <cell r="E55" t="str">
            <v>30 g</v>
          </cell>
          <cell r="F55" t="str">
            <v>48 / Outer Case</v>
          </cell>
          <cell r="G55">
            <v>6</v>
          </cell>
          <cell r="H55">
            <v>5</v>
          </cell>
          <cell r="I55">
            <v>30</v>
          </cell>
        </row>
        <row r="56">
          <cell r="B56">
            <v>411418</v>
          </cell>
          <cell r="C56">
            <v>6009233586491</v>
          </cell>
          <cell r="D56" t="str">
            <v>Tomato flavoured corn crunch 30g</v>
          </cell>
          <cell r="E56" t="str">
            <v>30 g</v>
          </cell>
          <cell r="F56" t="str">
            <v>48 / Outer Case</v>
          </cell>
          <cell r="G56">
            <v>6</v>
          </cell>
          <cell r="H56">
            <v>5</v>
          </cell>
          <cell r="I56">
            <v>30</v>
          </cell>
        </row>
        <row r="57">
          <cell r="B57">
            <v>411417</v>
          </cell>
          <cell r="C57">
            <v>6009233586484</v>
          </cell>
          <cell r="D57" t="str">
            <v>Jalapeno Popper flavoured corn crunch 30g</v>
          </cell>
          <cell r="E57" t="str">
            <v>30 g</v>
          </cell>
          <cell r="F57" t="str">
            <v>48 / Outer Case</v>
          </cell>
          <cell r="G57">
            <v>6</v>
          </cell>
          <cell r="H57">
            <v>5</v>
          </cell>
          <cell r="I57">
            <v>30</v>
          </cell>
        </row>
        <row r="59">
          <cell r="B59">
            <v>412005</v>
          </cell>
          <cell r="C59">
            <v>6009195223038</v>
          </cell>
          <cell r="D59" t="str">
            <v>POPCORN - Caramel Coated 150 g</v>
          </cell>
          <cell r="E59" t="str">
            <v>150 g</v>
          </cell>
          <cell r="F59" t="str">
            <v>14 / Outer Case</v>
          </cell>
          <cell r="G59">
            <v>16</v>
          </cell>
          <cell r="H59">
            <v>3</v>
          </cell>
          <cell r="I59">
            <v>48</v>
          </cell>
        </row>
        <row r="60">
          <cell r="B60">
            <v>412003</v>
          </cell>
          <cell r="C60">
            <v>6009189862717</v>
          </cell>
          <cell r="D60" t="str">
            <v>POPCORN - Sea Salt 90 g</v>
          </cell>
          <cell r="E60" t="str">
            <v>90 g</v>
          </cell>
          <cell r="F60" t="str">
            <v>14 / Outer Case</v>
          </cell>
          <cell r="G60">
            <v>8</v>
          </cell>
          <cell r="H60">
            <v>4</v>
          </cell>
          <cell r="I60">
            <v>32</v>
          </cell>
        </row>
        <row r="61">
          <cell r="B61">
            <v>412004</v>
          </cell>
          <cell r="C61">
            <v>6009189862700</v>
          </cell>
          <cell r="D61" t="str">
            <v>POPCORN - Salt &amp; Vinegar 90 g</v>
          </cell>
          <cell r="E61" t="str">
            <v>90 g</v>
          </cell>
          <cell r="F61" t="str">
            <v>14 / Outer Case</v>
          </cell>
          <cell r="G61">
            <v>8</v>
          </cell>
          <cell r="H61">
            <v>4</v>
          </cell>
          <cell r="I61">
            <v>32</v>
          </cell>
        </row>
        <row r="62">
          <cell r="B62">
            <v>412002</v>
          </cell>
          <cell r="C62">
            <v>6009189862694</v>
          </cell>
          <cell r="D62" t="str">
            <v>POPCORN - Sour Cream &amp; Chives 90 g</v>
          </cell>
          <cell r="E62" t="str">
            <v>90 g</v>
          </cell>
          <cell r="F62" t="str">
            <v>14 / Outer Case</v>
          </cell>
          <cell r="G62">
            <v>8</v>
          </cell>
          <cell r="H62">
            <v>4</v>
          </cell>
          <cell r="I62">
            <v>32</v>
          </cell>
        </row>
        <row r="63">
          <cell r="B63">
            <v>412007</v>
          </cell>
          <cell r="C63">
            <v>6009195499853</v>
          </cell>
          <cell r="D63" t="str">
            <v>POPCORN - Sour Cream &amp; Chives 25 g</v>
          </cell>
          <cell r="E63" t="str">
            <v>25 g</v>
          </cell>
          <cell r="F63" t="str">
            <v>24 / Outer Case</v>
          </cell>
          <cell r="G63">
            <v>12</v>
          </cell>
          <cell r="H63">
            <v>4</v>
          </cell>
          <cell r="I63">
            <v>48</v>
          </cell>
        </row>
        <row r="64">
          <cell r="B64">
            <v>412001</v>
          </cell>
          <cell r="C64">
            <v>6009189862687</v>
          </cell>
          <cell r="D64" t="str">
            <v>POPCORN - White Cheddar 90 g</v>
          </cell>
          <cell r="E64" t="str">
            <v>90 g</v>
          </cell>
          <cell r="F64" t="str">
            <v>14 / Outer Case</v>
          </cell>
          <cell r="G64">
            <v>8</v>
          </cell>
          <cell r="H64">
            <v>4</v>
          </cell>
          <cell r="I64">
            <v>32</v>
          </cell>
        </row>
        <row r="65">
          <cell r="B65">
            <v>412006</v>
          </cell>
          <cell r="C65">
            <v>6009195499846</v>
          </cell>
          <cell r="D65" t="str">
            <v>POPCORN - White Cheddar 25 g</v>
          </cell>
          <cell r="E65" t="str">
            <v>25 g</v>
          </cell>
          <cell r="F65" t="str">
            <v>24 / Outer Case</v>
          </cell>
          <cell r="G65">
            <v>12</v>
          </cell>
          <cell r="H65">
            <v>4</v>
          </cell>
          <cell r="I65">
            <v>48</v>
          </cell>
        </row>
        <row r="66">
          <cell r="B66">
            <v>412009</v>
          </cell>
          <cell r="C66">
            <v>6009223464297</v>
          </cell>
          <cell r="D66" t="str">
            <v>POPCORN - Feta &amp; Black Pepper 90 g</v>
          </cell>
          <cell r="E66" t="str">
            <v>90 g</v>
          </cell>
          <cell r="F66" t="str">
            <v>14 / Outer Case</v>
          </cell>
          <cell r="G66">
            <v>8</v>
          </cell>
          <cell r="H66">
            <v>4</v>
          </cell>
          <cell r="I66">
            <v>32</v>
          </cell>
        </row>
        <row r="67">
          <cell r="B67">
            <v>412010</v>
          </cell>
          <cell r="C67">
            <v>6009223464303</v>
          </cell>
          <cell r="D67" t="str">
            <v>POPCORN - Jalapeno Atchar  90 g</v>
          </cell>
          <cell r="E67" t="str">
            <v>90 g</v>
          </cell>
          <cell r="F67" t="str">
            <v>14 / Outer Case</v>
          </cell>
          <cell r="G67">
            <v>8</v>
          </cell>
          <cell r="H67">
            <v>4</v>
          </cell>
          <cell r="I67">
            <v>32</v>
          </cell>
        </row>
        <row r="68">
          <cell r="B68">
            <v>412011</v>
          </cell>
          <cell r="C68">
            <v>6009223464327</v>
          </cell>
          <cell r="D68" t="str">
            <v>POPCORN - Butter Flavoured 90 g</v>
          </cell>
          <cell r="E68" t="str">
            <v>90 g</v>
          </cell>
          <cell r="F68" t="str">
            <v>14 / Outer Case</v>
          </cell>
          <cell r="G68">
            <v>8</v>
          </cell>
          <cell r="H68">
            <v>4</v>
          </cell>
          <cell r="I68">
            <v>32</v>
          </cell>
        </row>
        <row r="70">
          <cell r="B70" t="str">
            <v>4172AH</v>
          </cell>
          <cell r="C70" t="str">
            <v>6009701000269</v>
          </cell>
          <cell r="D70" t="str">
            <v>HP Feta &amp; Black Pepper 90 g</v>
          </cell>
          <cell r="E70" t="str">
            <v>90 g</v>
          </cell>
          <cell r="F70" t="str">
            <v>14 / Outer Case</v>
          </cell>
          <cell r="G70">
            <v>8</v>
          </cell>
          <cell r="H70">
            <v>4</v>
          </cell>
          <cell r="I70">
            <v>32</v>
          </cell>
        </row>
        <row r="71">
          <cell r="B71" t="str">
            <v>4172AK</v>
          </cell>
          <cell r="C71" t="str">
            <v>6009701000245</v>
          </cell>
          <cell r="D71" t="str">
            <v>HP Cream Cheese &amp; Chives 90 g</v>
          </cell>
          <cell r="E71" t="str">
            <v>90 g</v>
          </cell>
          <cell r="F71" t="str">
            <v>14 / Outer Case</v>
          </cell>
          <cell r="G71">
            <v>8</v>
          </cell>
          <cell r="H71">
            <v>4</v>
          </cell>
          <cell r="I71">
            <v>32</v>
          </cell>
        </row>
        <row r="72">
          <cell r="B72" t="str">
            <v>4172AL</v>
          </cell>
          <cell r="C72" t="str">
            <v>6009701000252</v>
          </cell>
          <cell r="D72" t="str">
            <v>HP Cheesy Cheese 90 g</v>
          </cell>
          <cell r="E72" t="str">
            <v>90 g</v>
          </cell>
          <cell r="F72" t="str">
            <v>14 / Outer Case</v>
          </cell>
          <cell r="G72">
            <v>8</v>
          </cell>
          <cell r="H72">
            <v>4</v>
          </cell>
          <cell r="I72">
            <v>32</v>
          </cell>
        </row>
        <row r="73">
          <cell r="B73" t="str">
            <v>4172AR</v>
          </cell>
          <cell r="C73" t="str">
            <v>6005574002003</v>
          </cell>
          <cell r="D73" t="str">
            <v>HP Butter Flavour 90 g</v>
          </cell>
          <cell r="E73" t="str">
            <v>90 g</v>
          </cell>
          <cell r="F73" t="str">
            <v>14 / Outer Case</v>
          </cell>
          <cell r="G73">
            <v>8</v>
          </cell>
          <cell r="H73">
            <v>4</v>
          </cell>
          <cell r="I73">
            <v>32</v>
          </cell>
        </row>
        <row r="74">
          <cell r="B74" t="str">
            <v>4172AJ</v>
          </cell>
          <cell r="C74" t="str">
            <v>6009701000283</v>
          </cell>
          <cell r="D74" t="str">
            <v>HP Caramel Popcorn 150 g</v>
          </cell>
          <cell r="E74" t="str">
            <v>150 g</v>
          </cell>
          <cell r="F74" t="str">
            <v>14 / Outer Case</v>
          </cell>
          <cell r="G74">
            <v>12</v>
          </cell>
          <cell r="H74">
            <v>4</v>
          </cell>
          <cell r="I74">
            <v>48</v>
          </cell>
        </row>
        <row r="75">
          <cell r="B75" t="str">
            <v>4172AN</v>
          </cell>
          <cell r="C75" t="str">
            <v>6009701000023</v>
          </cell>
          <cell r="D75" t="str">
            <v>HP Caramel Popcorn 22 g x 4</v>
          </cell>
          <cell r="E75" t="str">
            <v>22 g x 4</v>
          </cell>
          <cell r="F75" t="str">
            <v>20 / Outer Case</v>
          </cell>
          <cell r="G75">
            <v>12</v>
          </cell>
          <cell r="H75">
            <v>4</v>
          </cell>
          <cell r="I75">
            <v>48</v>
          </cell>
        </row>
        <row r="76">
          <cell r="B76" t="str">
            <v>4172AB</v>
          </cell>
          <cell r="C76" t="str">
            <v>6005574000917</v>
          </cell>
          <cell r="D76" t="str">
            <v>HP Sweet &amp; Salty 90 g</v>
          </cell>
          <cell r="E76" t="str">
            <v>90 g</v>
          </cell>
          <cell r="F76" t="str">
            <v>14 / Outer Case</v>
          </cell>
          <cell r="G76">
            <v>8</v>
          </cell>
          <cell r="H76">
            <v>4</v>
          </cell>
          <cell r="I76">
            <v>32</v>
          </cell>
        </row>
        <row r="78">
          <cell r="B78" t="str">
            <v>4165AK</v>
          </cell>
          <cell r="C78" t="str">
            <v>6005574002805</v>
          </cell>
          <cell r="D78" t="str">
            <v>F&amp;F  Salt &amp; Vinegar Flavoured Potato Chips 120 g</v>
          </cell>
          <cell r="E78" t="str">
            <v>120 g</v>
          </cell>
          <cell r="F78" t="str">
            <v>26 / Outer Case</v>
          </cell>
          <cell r="G78">
            <v>5</v>
          </cell>
          <cell r="H78">
            <v>4</v>
          </cell>
          <cell r="I78">
            <v>20</v>
          </cell>
        </row>
        <row r="79">
          <cell r="B79" t="str">
            <v>4165AJ</v>
          </cell>
          <cell r="C79" t="str">
            <v>6005574002812</v>
          </cell>
          <cell r="D79" t="str">
            <v>F&amp;F Tomato Flavoured Potato Chips 120 g</v>
          </cell>
          <cell r="E79" t="str">
            <v>120 g</v>
          </cell>
          <cell r="F79" t="str">
            <v>26 / Outer Case</v>
          </cell>
          <cell r="G79">
            <v>5</v>
          </cell>
          <cell r="H79">
            <v>4</v>
          </cell>
          <cell r="I79">
            <v>20</v>
          </cell>
        </row>
        <row r="80">
          <cell r="B80" t="str">
            <v>4165AI</v>
          </cell>
          <cell r="C80" t="str">
            <v>6005574002829</v>
          </cell>
          <cell r="D80" t="str">
            <v>F&amp;F Smoked Beef Flavoured Potato Chips 120 g</v>
          </cell>
          <cell r="E80" t="str">
            <v>120 g</v>
          </cell>
          <cell r="F80" t="str">
            <v>26 / Outer Case</v>
          </cell>
          <cell r="G80">
            <v>5</v>
          </cell>
          <cell r="H80">
            <v>4</v>
          </cell>
          <cell r="I80">
            <v>20</v>
          </cell>
        </row>
        <row r="81">
          <cell r="B81" t="str">
            <v>4165AL</v>
          </cell>
          <cell r="C81" t="str">
            <v>6005574003352</v>
          </cell>
          <cell r="D81" t="str">
            <v>F&amp;F Cheese Flavoured Potato Chips 120 g</v>
          </cell>
          <cell r="E81" t="str">
            <v>120 g</v>
          </cell>
          <cell r="F81" t="str">
            <v>26 / Outer Case</v>
          </cell>
          <cell r="G81">
            <v>5</v>
          </cell>
          <cell r="H81">
            <v>4</v>
          </cell>
          <cell r="I81">
            <v>20</v>
          </cell>
        </row>
        <row r="82">
          <cell r="B82" t="str">
            <v>4165AM</v>
          </cell>
          <cell r="C82" t="str">
            <v>6005574003369</v>
          </cell>
          <cell r="D82" t="str">
            <v>F&amp;F Lightly Salted Potato Chips 120 g</v>
          </cell>
          <cell r="E82" t="str">
            <v>120 g</v>
          </cell>
          <cell r="F82" t="str">
            <v>26 / Outer Case</v>
          </cell>
          <cell r="G82">
            <v>5</v>
          </cell>
          <cell r="H82">
            <v>4</v>
          </cell>
          <cell r="I82">
            <v>20</v>
          </cell>
        </row>
        <row r="83">
          <cell r="B83" t="str">
            <v> 4108AA</v>
          </cell>
          <cell r="C83" t="str">
            <v>6005574002805</v>
          </cell>
          <cell r="D83" t="str">
            <v>F&amp;F Salt &amp; Vinegar Flavoured Potato Chips 120 g (12)</v>
          </cell>
          <cell r="E83" t="str">
            <v>120 g</v>
          </cell>
          <cell r="F83" t="str">
            <v>12 / Outer Case</v>
          </cell>
          <cell r="G83">
            <v>9</v>
          </cell>
          <cell r="H83">
            <v>9</v>
          </cell>
          <cell r="I83">
            <v>81</v>
          </cell>
        </row>
        <row r="84">
          <cell r="B84" t="str">
            <v> 4108AB</v>
          </cell>
          <cell r="C84" t="str">
            <v>6005574002812</v>
          </cell>
          <cell r="D84" t="str">
            <v>F&amp;F Tomato Flavoured Potato Chips 120 g (12)</v>
          </cell>
          <cell r="E84" t="str">
            <v>120 g</v>
          </cell>
          <cell r="F84" t="str">
            <v>12 / Outer Case</v>
          </cell>
          <cell r="G84">
            <v>9</v>
          </cell>
          <cell r="H84">
            <v>9</v>
          </cell>
          <cell r="I84">
            <v>81</v>
          </cell>
        </row>
        <row r="85">
          <cell r="B85" t="str">
            <v> 4108AC</v>
          </cell>
          <cell r="C85" t="str">
            <v>6005574002829</v>
          </cell>
          <cell r="D85" t="str">
            <v>F&amp;F Smoked Beef Flavoured Potato Chips 120 g (12)</v>
          </cell>
          <cell r="E85" t="str">
            <v>120 g</v>
          </cell>
          <cell r="F85" t="str">
            <v>12 / Outer Case</v>
          </cell>
          <cell r="G85">
            <v>9</v>
          </cell>
          <cell r="H85">
            <v>9</v>
          </cell>
          <cell r="I85">
            <v>81</v>
          </cell>
        </row>
        <row r="86">
          <cell r="B86" t="str">
            <v> 4108AD</v>
          </cell>
          <cell r="C86" t="str">
            <v>6005574003352</v>
          </cell>
          <cell r="D86" t="str">
            <v>F&amp;F Cheese Flavoured Potato Chips 120 g (12)</v>
          </cell>
          <cell r="E86" t="str">
            <v>120 g</v>
          </cell>
          <cell r="F86" t="str">
            <v>12 / Outer Case</v>
          </cell>
          <cell r="G86">
            <v>9</v>
          </cell>
          <cell r="H86">
            <v>9</v>
          </cell>
          <cell r="I86">
            <v>81</v>
          </cell>
        </row>
        <row r="87">
          <cell r="B87" t="str">
            <v> 4108AE</v>
          </cell>
          <cell r="C87" t="str">
            <v>6005574003369</v>
          </cell>
          <cell r="D87" t="str">
            <v>F&amp;F Lightly Salted Potato Chips 120 g (12)</v>
          </cell>
          <cell r="E87" t="str">
            <v>120 g</v>
          </cell>
          <cell r="F87" t="str">
            <v>12 / Outer Case</v>
          </cell>
          <cell r="G87">
            <v>9</v>
          </cell>
          <cell r="H87">
            <v>9</v>
          </cell>
          <cell r="I87">
            <v>81</v>
          </cell>
        </row>
        <row r="89">
          <cell r="B89" t="str">
            <v>4165AD</v>
          </cell>
          <cell r="C89" t="str">
            <v>6005574002836</v>
          </cell>
          <cell r="D89" t="str">
            <v>KC Salt &amp; Vinegar Flavoured Potato Chips 120 g</v>
          </cell>
          <cell r="E89" t="str">
            <v>120 g</v>
          </cell>
          <cell r="F89" t="str">
            <v>26 / Outer Case</v>
          </cell>
          <cell r="G89">
            <v>5</v>
          </cell>
          <cell r="H89">
            <v>4</v>
          </cell>
          <cell r="I89">
            <v>20</v>
          </cell>
        </row>
        <row r="90">
          <cell r="B90" t="str">
            <v>4165AB</v>
          </cell>
          <cell r="C90" t="str">
            <v>6005574002850</v>
          </cell>
          <cell r="D90" t="str">
            <v>KC Tomato Flavoured Potato Chips 120 g</v>
          </cell>
          <cell r="E90" t="str">
            <v>120 g</v>
          </cell>
          <cell r="F90" t="str">
            <v>26 / Outer Case</v>
          </cell>
          <cell r="G90">
            <v>5</v>
          </cell>
          <cell r="H90">
            <v>4</v>
          </cell>
          <cell r="I90">
            <v>20</v>
          </cell>
        </row>
        <row r="91">
          <cell r="B91" t="str">
            <v>4165AH</v>
          </cell>
          <cell r="C91" t="str">
            <v>6005574002874</v>
          </cell>
          <cell r="D91" t="str">
            <v>KC Grilled Steak Flavoured Potato Chips 120 g</v>
          </cell>
          <cell r="E91" t="str">
            <v>120 g</v>
          </cell>
          <cell r="F91" t="str">
            <v>26 / Outer Case</v>
          </cell>
          <cell r="G91">
            <v>5</v>
          </cell>
          <cell r="H91">
            <v>4</v>
          </cell>
          <cell r="I91">
            <v>20</v>
          </cell>
        </row>
        <row r="92">
          <cell r="B92" t="str">
            <v>4108AL</v>
          </cell>
          <cell r="C92" t="str">
            <v>6005574003451</v>
          </cell>
          <cell r="D92" t="str">
            <v>KC Blazin' Hot BBQ Flavoured 120 g</v>
          </cell>
          <cell r="E92" t="str">
            <v>120 g</v>
          </cell>
          <cell r="F92" t="str">
            <v>26 / Outer Case</v>
          </cell>
          <cell r="G92">
            <v>5</v>
          </cell>
          <cell r="H92">
            <v>4</v>
          </cell>
          <cell r="I92">
            <v>20</v>
          </cell>
        </row>
        <row r="93">
          <cell r="B93" t="str">
            <v>4165AC</v>
          </cell>
          <cell r="C93" t="str">
            <v>6005574002843</v>
          </cell>
          <cell r="D93" t="str">
            <v>KC Salt &amp; Vinegar Flavoured Potato Chips 36 g</v>
          </cell>
          <cell r="E93" t="str">
            <v>36 g</v>
          </cell>
          <cell r="F93" t="str">
            <v>48 / Outer Case</v>
          </cell>
          <cell r="G93">
            <v>6</v>
          </cell>
          <cell r="H93">
            <v>5</v>
          </cell>
          <cell r="I93">
            <v>30</v>
          </cell>
        </row>
        <row r="94">
          <cell r="B94" t="str">
            <v>4165AA</v>
          </cell>
          <cell r="C94" t="str">
            <v>6005574002867</v>
          </cell>
          <cell r="D94" t="str">
            <v>KC Tomato Flavoured Potato Chips 36 g</v>
          </cell>
          <cell r="E94" t="str">
            <v>36 g</v>
          </cell>
          <cell r="F94" t="str">
            <v>48 / Outer Case</v>
          </cell>
          <cell r="G94">
            <v>6</v>
          </cell>
          <cell r="H94">
            <v>5</v>
          </cell>
          <cell r="I94">
            <v>30</v>
          </cell>
        </row>
        <row r="95">
          <cell r="B95" t="str">
            <v>4165AG</v>
          </cell>
          <cell r="C95" t="str">
            <v>6005574002881</v>
          </cell>
          <cell r="D95" t="str">
            <v>KC Grilled Steak Flavoured Potato Chips 36 g</v>
          </cell>
          <cell r="E95" t="str">
            <v>36 g</v>
          </cell>
          <cell r="F95" t="str">
            <v>48 / Outer Case</v>
          </cell>
          <cell r="G95">
            <v>6</v>
          </cell>
          <cell r="H95">
            <v>5</v>
          </cell>
          <cell r="I95">
            <v>30</v>
          </cell>
        </row>
        <row r="96">
          <cell r="B96" t="str">
            <v>4108AM</v>
          </cell>
          <cell r="C96" t="str">
            <v>6005574003468</v>
          </cell>
          <cell r="D96" t="str">
            <v>KC Blazin' Hot BBQ Flavoured 36 g</v>
          </cell>
          <cell r="E96" t="str">
            <v>36 g</v>
          </cell>
          <cell r="F96" t="str">
            <v>48 / Outer Case</v>
          </cell>
          <cell r="G96">
            <v>6</v>
          </cell>
          <cell r="H96">
            <v>5</v>
          </cell>
          <cell r="I96">
            <v>30</v>
          </cell>
        </row>
        <row r="97">
          <cell r="B97" t="str">
            <v>4108AF</v>
          </cell>
          <cell r="C97" t="str">
            <v>6005574002836</v>
          </cell>
          <cell r="D97" t="str">
            <v>KC Salt &amp; Vinegar Flavoured Potato Chips 120 g (12)</v>
          </cell>
          <cell r="E97" t="str">
            <v>120 g</v>
          </cell>
          <cell r="F97" t="str">
            <v>12 / Outer Case</v>
          </cell>
          <cell r="G97">
            <v>9</v>
          </cell>
          <cell r="H97">
            <v>9</v>
          </cell>
          <cell r="I97">
            <v>81</v>
          </cell>
        </row>
        <row r="98">
          <cell r="B98" t="str">
            <v>4108AG</v>
          </cell>
          <cell r="C98" t="str">
            <v>6005574002850</v>
          </cell>
          <cell r="D98" t="str">
            <v>KC Tomato Flavoured Potato Chips 120 g (12)</v>
          </cell>
          <cell r="E98" t="str">
            <v>120 g</v>
          </cell>
          <cell r="F98" t="str">
            <v>12 / Outer Case</v>
          </cell>
          <cell r="G98">
            <v>9</v>
          </cell>
          <cell r="H98">
            <v>9</v>
          </cell>
          <cell r="I98">
            <v>81</v>
          </cell>
        </row>
        <row r="99">
          <cell r="B99" t="str">
            <v>4108AH</v>
          </cell>
          <cell r="C99" t="str">
            <v>6005574002874</v>
          </cell>
          <cell r="D99" t="str">
            <v>KC Grilled Steak Flavoured Potato Chips 120 g (12)</v>
          </cell>
          <cell r="E99" t="str">
            <v>120 g</v>
          </cell>
          <cell r="F99" t="str">
            <v>12 / Outer Case</v>
          </cell>
          <cell r="G99">
            <v>9</v>
          </cell>
          <cell r="H99">
            <v>9</v>
          </cell>
          <cell r="I99">
            <v>81</v>
          </cell>
        </row>
        <row r="100">
          <cell r="B100" t="str">
            <v>4108AN</v>
          </cell>
          <cell r="C100" t="str">
            <v>6005574003451</v>
          </cell>
          <cell r="D100" t="str">
            <v>KC Blazin' Hot BBQ Flavoured 120 g (12)</v>
          </cell>
          <cell r="E100" t="str">
            <v>120 g</v>
          </cell>
          <cell r="F100" t="str">
            <v>12 / Outer Case</v>
          </cell>
          <cell r="G100">
            <v>9</v>
          </cell>
          <cell r="H100">
            <v>9</v>
          </cell>
          <cell r="I100">
            <v>81</v>
          </cell>
        </row>
        <row r="101">
          <cell r="B101" t="str">
            <v>4108AI</v>
          </cell>
          <cell r="C101" t="str">
            <v>6005574002843</v>
          </cell>
          <cell r="D101" t="str">
            <v>KC Salt &amp; Vinegar Flavoured Potato Chips 36 g (24)</v>
          </cell>
          <cell r="E101" t="str">
            <v>36 g</v>
          </cell>
          <cell r="F101" t="str">
            <v>24 / Outer Case</v>
          </cell>
          <cell r="G101">
            <v>9</v>
          </cell>
          <cell r="H101">
            <v>9</v>
          </cell>
          <cell r="I101">
            <v>81</v>
          </cell>
        </row>
        <row r="102">
          <cell r="B102" t="str">
            <v>4108AJ</v>
          </cell>
          <cell r="C102" t="str">
            <v>6005574002867</v>
          </cell>
          <cell r="D102" t="str">
            <v>KC Tomato Flavoured Potato Chips 36 g (24)</v>
          </cell>
          <cell r="E102" t="str">
            <v>36 g</v>
          </cell>
          <cell r="F102" t="str">
            <v>24 / Outer Case</v>
          </cell>
          <cell r="G102">
            <v>9</v>
          </cell>
          <cell r="H102">
            <v>9</v>
          </cell>
          <cell r="I102">
            <v>81</v>
          </cell>
        </row>
        <row r="103">
          <cell r="B103" t="str">
            <v>4108AK</v>
          </cell>
          <cell r="C103" t="str">
            <v>6005574002881</v>
          </cell>
          <cell r="D103" t="str">
            <v>KC Grilled Steak Flavoured Potato Chips 36 g (24)</v>
          </cell>
          <cell r="E103" t="str">
            <v>36 g</v>
          </cell>
          <cell r="F103" t="str">
            <v>24 / Outer Case</v>
          </cell>
          <cell r="G103">
            <v>9</v>
          </cell>
          <cell r="H103">
            <v>9</v>
          </cell>
          <cell r="I103">
            <v>81</v>
          </cell>
        </row>
        <row r="104">
          <cell r="B104" t="str">
            <v>4108AO</v>
          </cell>
          <cell r="C104" t="str">
            <v>6005574003468</v>
          </cell>
          <cell r="D104" t="str">
            <v>KC Blazin' Hot BBQ Flavoured 36 g (24)</v>
          </cell>
          <cell r="E104" t="str">
            <v>36 g</v>
          </cell>
          <cell r="F104" t="str">
            <v>24 / Outer Case</v>
          </cell>
          <cell r="G104">
            <v>9</v>
          </cell>
          <cell r="H104">
            <v>9</v>
          </cell>
          <cell r="I104">
            <v>81</v>
          </cell>
        </row>
        <row r="106">
          <cell r="B106" t="str">
            <v>4108AR</v>
          </cell>
          <cell r="C106" t="str">
            <v>6005574003499</v>
          </cell>
          <cell r="D106" t="str">
            <v>Bulls Salt &amp; Vinegar Flavoured Potato Chips 120 g</v>
          </cell>
          <cell r="E106" t="str">
            <v>120 g</v>
          </cell>
          <cell r="F106" t="str">
            <v>26 / Outer Case</v>
          </cell>
          <cell r="G106">
            <v>4</v>
          </cell>
          <cell r="H106">
            <v>5</v>
          </cell>
          <cell r="I106">
            <v>20</v>
          </cell>
        </row>
        <row r="107">
          <cell r="B107" t="str">
            <v>4108AP</v>
          </cell>
          <cell r="C107" t="str">
            <v>6005574003475</v>
          </cell>
          <cell r="D107" t="str">
            <v>Bulls Chutney Flavoured  Potato Chips 120 g</v>
          </cell>
          <cell r="E107" t="str">
            <v>120 g</v>
          </cell>
          <cell r="F107" t="str">
            <v>26 / Outer Case</v>
          </cell>
          <cell r="G107">
            <v>4</v>
          </cell>
          <cell r="H107">
            <v>5</v>
          </cell>
          <cell r="I107">
            <v>20</v>
          </cell>
        </row>
        <row r="108">
          <cell r="B108" t="str">
            <v>4108AQ</v>
          </cell>
          <cell r="C108" t="str">
            <v>6005574003482</v>
          </cell>
          <cell r="D108" t="str">
            <v>Bulls Boerewors Flavoured Potato Chips 120 g</v>
          </cell>
          <cell r="E108" t="str">
            <v>120 g</v>
          </cell>
          <cell r="F108" t="str">
            <v>26 / Outer Case</v>
          </cell>
          <cell r="G108">
            <v>4</v>
          </cell>
          <cell r="H108">
            <v>5</v>
          </cell>
          <cell r="I108">
            <v>20</v>
          </cell>
        </row>
        <row r="109">
          <cell r="B109" t="str">
            <v>4108AS</v>
          </cell>
          <cell r="C109" t="str">
            <v>6005574003505</v>
          </cell>
          <cell r="D109" t="str">
            <v>Bulls Salt &amp; Vinegar Blue Potato Chips 120 g</v>
          </cell>
          <cell r="E109" t="str">
            <v>120 g</v>
          </cell>
          <cell r="F109" t="str">
            <v>26 / Outer Case</v>
          </cell>
          <cell r="G109">
            <v>4</v>
          </cell>
          <cell r="H109">
            <v>5</v>
          </cell>
          <cell r="I109">
            <v>20</v>
          </cell>
        </row>
        <row r="110">
          <cell r="B110" t="str">
            <v>4108BB</v>
          </cell>
          <cell r="C110" t="str">
            <v>6005574003499</v>
          </cell>
          <cell r="D110" t="str">
            <v>Bulls Salt &amp; Vinegar Flavoured Potato Chips 120 g (12)</v>
          </cell>
          <cell r="E110" t="str">
            <v>120 g</v>
          </cell>
          <cell r="F110" t="str">
            <v>12 / Outer Case</v>
          </cell>
          <cell r="G110">
            <v>9</v>
          </cell>
          <cell r="H110">
            <v>9</v>
          </cell>
          <cell r="I110">
            <v>81</v>
          </cell>
        </row>
        <row r="111">
          <cell r="B111" t="str">
            <v>4108AZ</v>
          </cell>
          <cell r="C111" t="str">
            <v>6005574003475</v>
          </cell>
          <cell r="D111" t="str">
            <v>Bulls Chutney Flavoured  Potato Chips 120 g (12)</v>
          </cell>
          <cell r="E111" t="str">
            <v>120 g</v>
          </cell>
          <cell r="F111" t="str">
            <v>12 / Outer Case</v>
          </cell>
          <cell r="G111">
            <v>9</v>
          </cell>
          <cell r="H111">
            <v>9</v>
          </cell>
          <cell r="I111">
            <v>81</v>
          </cell>
        </row>
        <row r="112">
          <cell r="B112" t="str">
            <v>4108BA</v>
          </cell>
          <cell r="C112" t="str">
            <v>6005574003482</v>
          </cell>
          <cell r="D112" t="str">
            <v>Bulls Boerewors Flavoured Potato Chips 120 g (12)</v>
          </cell>
          <cell r="E112" t="str">
            <v>120 g</v>
          </cell>
          <cell r="F112" t="str">
            <v>12 / Outer Case</v>
          </cell>
          <cell r="G112">
            <v>9</v>
          </cell>
          <cell r="H112">
            <v>9</v>
          </cell>
          <cell r="I112">
            <v>81</v>
          </cell>
        </row>
        <row r="113">
          <cell r="B113" t="str">
            <v>4108BC</v>
          </cell>
          <cell r="C113" t="str">
            <v>6005574003505</v>
          </cell>
          <cell r="D113" t="str">
            <v>Bulls Salt &amp; Vinegar Blue Potato Chips 120 g (12)</v>
          </cell>
          <cell r="E113" t="str">
            <v>120 g</v>
          </cell>
          <cell r="F113" t="str">
            <v>12 / Outer Case</v>
          </cell>
          <cell r="G113">
            <v>9</v>
          </cell>
          <cell r="H113">
            <v>9</v>
          </cell>
          <cell r="I113">
            <v>81</v>
          </cell>
        </row>
        <row r="115">
          <cell r="B115" t="str">
            <v>4108AT</v>
          </cell>
          <cell r="C115" t="str">
            <v>6009710723180</v>
          </cell>
          <cell r="D115" t="str">
            <v>Lay's KC Sea Salt &amp; Black Pepper 120 g</v>
          </cell>
          <cell r="E115" t="str">
            <v>120 g</v>
          </cell>
          <cell r="F115" t="str">
            <v>26 / Outer Case</v>
          </cell>
          <cell r="G115">
            <v>6</v>
          </cell>
          <cell r="H115">
            <v>9</v>
          </cell>
          <cell r="I115">
            <v>54</v>
          </cell>
        </row>
        <row r="116">
          <cell r="B116" t="str">
            <v>4108AU</v>
          </cell>
          <cell r="C116" t="str">
            <v>6009710723159</v>
          </cell>
          <cell r="D116" t="str">
            <v>Lay's KC Sea Salt &amp; Black Pepper 30 g</v>
          </cell>
          <cell r="E116" t="str">
            <v>30 g</v>
          </cell>
          <cell r="F116" t="str">
            <v>48 / Outer Case</v>
          </cell>
          <cell r="G116">
            <v>8</v>
          </cell>
          <cell r="H116">
            <v>7</v>
          </cell>
          <cell r="I116">
            <v>56</v>
          </cell>
        </row>
        <row r="117">
          <cell r="B117" t="str">
            <v>4108AV</v>
          </cell>
          <cell r="C117" t="str">
            <v>6009710723173</v>
          </cell>
          <cell r="D117" t="str">
            <v>Lay's KC Cheddar &amp; Cranberry 120 g</v>
          </cell>
          <cell r="E117" t="str">
            <v>120 g</v>
          </cell>
          <cell r="F117" t="str">
            <v>20 / Outer Case</v>
          </cell>
          <cell r="G117">
            <v>6</v>
          </cell>
          <cell r="H117">
            <v>9</v>
          </cell>
          <cell r="I117">
            <v>54</v>
          </cell>
        </row>
        <row r="118">
          <cell r="B118" t="str">
            <v>4108AY</v>
          </cell>
          <cell r="C118" t="str">
            <v>6009710723142</v>
          </cell>
          <cell r="D118" t="str">
            <v>Lay's KC Cheddar &amp; Cranberry 30 g</v>
          </cell>
          <cell r="E118" t="str">
            <v>30 g</v>
          </cell>
          <cell r="F118" t="str">
            <v>48 / Outer Case</v>
          </cell>
          <cell r="G118">
            <v>8</v>
          </cell>
          <cell r="H118">
            <v>7</v>
          </cell>
          <cell r="I118">
            <v>56</v>
          </cell>
        </row>
        <row r="119">
          <cell r="B119" t="str">
            <v>4108AW</v>
          </cell>
          <cell r="C119" t="str">
            <v>6009710723166</v>
          </cell>
          <cell r="D119" t="str">
            <v>Lay's KC Rib-Eye &amp; Mushroom 120 g</v>
          </cell>
          <cell r="E119" t="str">
            <v>120 g</v>
          </cell>
          <cell r="F119" t="str">
            <v>20 / Outer Case</v>
          </cell>
          <cell r="G119">
            <v>6</v>
          </cell>
          <cell r="H119">
            <v>9</v>
          </cell>
          <cell r="I119">
            <v>54</v>
          </cell>
        </row>
        <row r="120">
          <cell r="B120" t="str">
            <v>4108AX</v>
          </cell>
          <cell r="C120" t="str">
            <v>6009710723135</v>
          </cell>
          <cell r="D120" t="str">
            <v>Lay's KC Rib-Eye &amp; Mushroom 30 g</v>
          </cell>
          <cell r="E120" t="str">
            <v>30 g</v>
          </cell>
          <cell r="F120" t="str">
            <v>48 / Outer Case</v>
          </cell>
          <cell r="G120">
            <v>8</v>
          </cell>
          <cell r="H120">
            <v>7</v>
          </cell>
          <cell r="I120">
            <v>56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BA64C6D-4CEB-482A-8598-E5081B3D9B6F}">
  <we:reference id="wa200001584" version="2.8.1.5" store="en-US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6C61F70-CD37-4E97-A40F-72CF937D3E17}">
  <we:reference id="wa200008745" version="1.0.0.0" store="en-US" storeType="OMEX"/>
  <we:alternateReferences>
    <we:reference id="WA200008745" version="1.0.0.0" store="WA20000874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32C2-4E81-477F-A080-B01F6DF37EA0}">
  <dimension ref="A1:M106"/>
  <sheetViews>
    <sheetView tabSelected="1" workbookViewId="0">
      <selection activeCell="E11" sqref="E11"/>
    </sheetView>
  </sheetViews>
  <sheetFormatPr defaultRowHeight="15" x14ac:dyDescent="0.25"/>
  <cols>
    <col min="1" max="1" width="17" style="13" customWidth="1"/>
    <col min="2" max="2" width="20.85546875" style="13" customWidth="1"/>
    <col min="3" max="3" width="22.7109375" customWidth="1"/>
    <col min="4" max="4" width="51" bestFit="1" customWidth="1"/>
    <col min="5" max="5" width="9" bestFit="1" customWidth="1"/>
    <col min="6" max="6" width="8.7109375" style="14" customWidth="1"/>
    <col min="7" max="7" width="5.85546875" customWidth="1"/>
    <col min="8" max="8" width="15.28515625" bestFit="1" customWidth="1"/>
    <col min="9" max="9" width="13.85546875" bestFit="1" customWidth="1"/>
    <col min="10" max="10" width="16.42578125" bestFit="1" customWidth="1"/>
  </cols>
  <sheetData>
    <row r="1" spans="1:13" ht="45" x14ac:dyDescent="0.25">
      <c r="A1" s="179" t="s">
        <v>0</v>
      </c>
      <c r="B1" s="179" t="s">
        <v>453</v>
      </c>
      <c r="C1" s="179" t="s">
        <v>1</v>
      </c>
      <c r="D1" s="179" t="s">
        <v>2</v>
      </c>
      <c r="E1" s="179" t="s">
        <v>3</v>
      </c>
      <c r="F1" s="179" t="s">
        <v>4</v>
      </c>
      <c r="G1" s="179" t="s">
        <v>5</v>
      </c>
      <c r="H1" s="179" t="s">
        <v>6</v>
      </c>
      <c r="I1" s="179" t="s">
        <v>7</v>
      </c>
      <c r="J1" s="179" t="s">
        <v>490</v>
      </c>
      <c r="K1" s="179" t="s">
        <v>491</v>
      </c>
      <c r="L1" s="179" t="s">
        <v>492</v>
      </c>
      <c r="M1" s="179" t="s">
        <v>493</v>
      </c>
    </row>
    <row r="2" spans="1:13" x14ac:dyDescent="0.25">
      <c r="A2" s="177">
        <v>413817</v>
      </c>
      <c r="B2" s="178" t="e">
        <v>#N/A</v>
      </c>
      <c r="C2" s="12">
        <v>6009211225657</v>
      </c>
      <c r="D2" t="s">
        <v>9</v>
      </c>
      <c r="E2" t="s">
        <v>10</v>
      </c>
      <c r="F2" s="14">
        <v>112</v>
      </c>
      <c r="G2">
        <v>98</v>
      </c>
      <c r="H2">
        <v>32</v>
      </c>
      <c r="I2">
        <v>12</v>
      </c>
      <c r="J2" t="e">
        <f>VLOOKUP(A2,[1]Snacks!$B:$F,5,0)</f>
        <v>#N/A</v>
      </c>
      <c r="K2" t="e">
        <f>VLOOKUP(A2,[1]Snacks!$B:$G,6,0)</f>
        <v>#N/A</v>
      </c>
      <c r="L2" t="e">
        <f>VLOOKUP(A2,[1]Snacks!$B:$H,7,0)</f>
        <v>#N/A</v>
      </c>
      <c r="M2" t="e">
        <f>VLOOKUP(A2,[1]Snacks!$B:$I,8,0)</f>
        <v>#N/A</v>
      </c>
    </row>
    <row r="3" spans="1:13" x14ac:dyDescent="0.25">
      <c r="A3" s="177">
        <v>413807</v>
      </c>
      <c r="B3" s="178" t="e">
        <v>#N/A</v>
      </c>
      <c r="C3" s="12">
        <v>6009207314334</v>
      </c>
      <c r="D3" t="s">
        <v>9</v>
      </c>
      <c r="E3" t="s">
        <v>12</v>
      </c>
      <c r="F3" s="14">
        <v>112</v>
      </c>
      <c r="G3">
        <v>98</v>
      </c>
      <c r="H3">
        <v>70</v>
      </c>
      <c r="I3">
        <v>20</v>
      </c>
      <c r="J3" t="e">
        <f>VLOOKUP(A3,[1]Snacks!$B:$F,5,0)</f>
        <v>#N/A</v>
      </c>
      <c r="K3" t="e">
        <f>VLOOKUP(A3,[1]Snacks!$B:$G,6,0)</f>
        <v>#N/A</v>
      </c>
      <c r="L3" t="e">
        <f>VLOOKUP(A3,[1]Snacks!$B:$H,7,0)</f>
        <v>#N/A</v>
      </c>
      <c r="M3" t="e">
        <f>VLOOKUP(A3,[1]Snacks!$B:$I,8,0)</f>
        <v>#N/A</v>
      </c>
    </row>
    <row r="4" spans="1:13" x14ac:dyDescent="0.25">
      <c r="A4" s="177">
        <v>413816</v>
      </c>
      <c r="B4" s="178" t="e">
        <v>#N/A</v>
      </c>
      <c r="C4" s="12">
        <v>6009211225640</v>
      </c>
      <c r="D4" t="s">
        <v>14</v>
      </c>
      <c r="E4" t="s">
        <v>10</v>
      </c>
      <c r="F4" s="14">
        <v>112</v>
      </c>
      <c r="G4">
        <v>98</v>
      </c>
      <c r="H4">
        <v>32</v>
      </c>
      <c r="I4">
        <v>12</v>
      </c>
      <c r="J4" t="e">
        <f>VLOOKUP(A4,[1]Snacks!$B:$F,5,0)</f>
        <v>#N/A</v>
      </c>
      <c r="K4" t="e">
        <f>VLOOKUP(A4,[1]Snacks!$B:$G,6,0)</f>
        <v>#N/A</v>
      </c>
      <c r="L4" t="e">
        <f>VLOOKUP(A4,[1]Snacks!$B:$H,7,0)</f>
        <v>#N/A</v>
      </c>
      <c r="M4" t="e">
        <f>VLOOKUP(A4,[1]Snacks!$B:$I,8,0)</f>
        <v>#N/A</v>
      </c>
    </row>
    <row r="5" spans="1:13" x14ac:dyDescent="0.25">
      <c r="A5" s="177">
        <v>413808</v>
      </c>
      <c r="B5" s="178" t="e">
        <v>#N/A</v>
      </c>
      <c r="C5" s="12" t="s">
        <v>16</v>
      </c>
      <c r="D5" t="s">
        <v>14</v>
      </c>
      <c r="E5" t="s">
        <v>12</v>
      </c>
      <c r="F5" s="14">
        <v>112</v>
      </c>
      <c r="G5">
        <v>98</v>
      </c>
      <c r="H5">
        <v>70</v>
      </c>
      <c r="I5">
        <v>20</v>
      </c>
      <c r="J5" t="e">
        <f>VLOOKUP(A5,[1]Snacks!$B:$F,5,0)</f>
        <v>#N/A</v>
      </c>
      <c r="K5" t="e">
        <f>VLOOKUP(A5,[1]Snacks!$B:$G,6,0)</f>
        <v>#N/A</v>
      </c>
      <c r="L5" t="e">
        <f>VLOOKUP(A5,[1]Snacks!$B:$H,7,0)</f>
        <v>#N/A</v>
      </c>
      <c r="M5" t="e">
        <f>VLOOKUP(A5,[1]Snacks!$B:$I,8,0)</f>
        <v>#N/A</v>
      </c>
    </row>
    <row r="6" spans="1:13" x14ac:dyDescent="0.25">
      <c r="A6" s="177">
        <v>413819</v>
      </c>
      <c r="B6" s="178" t="e">
        <v>#N/A</v>
      </c>
      <c r="C6" s="12" t="s">
        <v>18</v>
      </c>
      <c r="D6" t="s">
        <v>19</v>
      </c>
      <c r="E6" t="s">
        <v>20</v>
      </c>
      <c r="F6" s="14">
        <v>112</v>
      </c>
      <c r="G6">
        <v>98</v>
      </c>
      <c r="H6">
        <v>32</v>
      </c>
      <c r="I6">
        <v>12</v>
      </c>
      <c r="J6" t="e">
        <f>VLOOKUP(A6,[1]Snacks!$B:$F,5,0)</f>
        <v>#N/A</v>
      </c>
      <c r="K6" t="e">
        <f>VLOOKUP(A6,[1]Snacks!$B:$G,6,0)</f>
        <v>#N/A</v>
      </c>
      <c r="L6" t="e">
        <f>VLOOKUP(A6,[1]Snacks!$B:$H,7,0)</f>
        <v>#N/A</v>
      </c>
      <c r="M6" t="e">
        <f>VLOOKUP(A6,[1]Snacks!$B:$I,8,0)</f>
        <v>#N/A</v>
      </c>
    </row>
    <row r="7" spans="1:13" x14ac:dyDescent="0.25">
      <c r="A7" s="177">
        <v>410810</v>
      </c>
      <c r="B7" s="178">
        <v>6005000288865</v>
      </c>
      <c r="C7" s="12" t="s">
        <v>22</v>
      </c>
      <c r="D7" t="s">
        <v>23</v>
      </c>
      <c r="E7" t="s">
        <v>24</v>
      </c>
      <c r="F7" s="14">
        <v>112</v>
      </c>
      <c r="G7">
        <v>71</v>
      </c>
      <c r="H7">
        <v>42</v>
      </c>
      <c r="I7">
        <v>24</v>
      </c>
      <c r="J7" t="str">
        <f>VLOOKUP(A7,[1]Snacks!$B:$F,5,0)</f>
        <v>24 / Outer Case</v>
      </c>
      <c r="K7">
        <f>VLOOKUP(A7,[1]Snacks!$B:$G,6,0)</f>
        <v>6</v>
      </c>
      <c r="L7">
        <f>VLOOKUP(A7,[1]Snacks!$B:$H,7,0)</f>
        <v>7</v>
      </c>
      <c r="M7">
        <f>VLOOKUP(A7,[1]Snacks!$B:$I,8,0)</f>
        <v>42</v>
      </c>
    </row>
    <row r="8" spans="1:13" x14ac:dyDescent="0.25">
      <c r="A8" s="177">
        <v>410808</v>
      </c>
      <c r="B8" s="178">
        <v>6009184110455</v>
      </c>
      <c r="C8" s="12" t="s">
        <v>26</v>
      </c>
      <c r="D8" t="s">
        <v>27</v>
      </c>
      <c r="E8" t="s">
        <v>28</v>
      </c>
      <c r="F8" s="14">
        <v>84</v>
      </c>
      <c r="G8">
        <v>71</v>
      </c>
      <c r="H8">
        <v>20</v>
      </c>
      <c r="I8">
        <v>26</v>
      </c>
      <c r="J8" t="str">
        <f>VLOOKUP(A8,[1]Snacks!$B:$F,5,0)</f>
        <v>26 / Outer Case</v>
      </c>
      <c r="K8">
        <f>VLOOKUP(A8,[1]Snacks!$B:$G,6,0)</f>
        <v>5</v>
      </c>
      <c r="L8">
        <f>VLOOKUP(A8,[1]Snacks!$B:$H,7,0)</f>
        <v>4</v>
      </c>
      <c r="M8">
        <f>VLOOKUP(A8,[1]Snacks!$B:$I,8,0)</f>
        <v>20</v>
      </c>
    </row>
    <row r="9" spans="1:13" x14ac:dyDescent="0.25">
      <c r="A9" s="177">
        <v>410807</v>
      </c>
      <c r="B9" s="178">
        <v>6009184110462</v>
      </c>
      <c r="C9" s="12">
        <v>6009184110462</v>
      </c>
      <c r="D9" t="s">
        <v>30</v>
      </c>
      <c r="E9" t="s">
        <v>28</v>
      </c>
      <c r="F9" s="14">
        <v>84</v>
      </c>
      <c r="G9">
        <v>119</v>
      </c>
      <c r="H9">
        <v>20</v>
      </c>
      <c r="I9">
        <v>26</v>
      </c>
      <c r="J9" t="str">
        <f>VLOOKUP(A9,[1]Snacks!$B:$F,5,0)</f>
        <v>26  / Outer Case</v>
      </c>
      <c r="K9">
        <f>VLOOKUP(A9,[1]Snacks!$B:$G,6,0)</f>
        <v>5</v>
      </c>
      <c r="L9">
        <f>VLOOKUP(A9,[1]Snacks!$B:$H,7,0)</f>
        <v>4</v>
      </c>
      <c r="M9">
        <f>VLOOKUP(A9,[1]Snacks!$B:$I,8,0)</f>
        <v>20</v>
      </c>
    </row>
    <row r="10" spans="1:13" x14ac:dyDescent="0.25">
      <c r="A10" s="177">
        <v>410811</v>
      </c>
      <c r="B10" s="178">
        <v>6005000895865</v>
      </c>
      <c r="C10" s="12" t="s">
        <v>32</v>
      </c>
      <c r="D10" t="s">
        <v>33</v>
      </c>
      <c r="E10" t="s">
        <v>24</v>
      </c>
      <c r="F10" s="14">
        <v>106</v>
      </c>
      <c r="G10">
        <v>119</v>
      </c>
      <c r="H10">
        <v>42</v>
      </c>
      <c r="I10">
        <v>24</v>
      </c>
      <c r="J10" t="str">
        <f>VLOOKUP(A10,[1]Snacks!$B:$F,5,0)</f>
        <v>24 / Outer Case</v>
      </c>
      <c r="K10">
        <f>VLOOKUP(A10,[1]Snacks!$B:$G,6,0)</f>
        <v>6</v>
      </c>
      <c r="L10">
        <f>VLOOKUP(A10,[1]Snacks!$B:$H,7,0)</f>
        <v>7</v>
      </c>
      <c r="M10">
        <f>VLOOKUP(A10,[1]Snacks!$B:$I,8,0)</f>
        <v>42</v>
      </c>
    </row>
    <row r="11" spans="1:13" x14ac:dyDescent="0.25">
      <c r="A11" s="177">
        <v>410806</v>
      </c>
      <c r="B11" s="178">
        <v>6009184110479</v>
      </c>
      <c r="C11" s="12">
        <v>6009184110479</v>
      </c>
      <c r="D11" t="s">
        <v>35</v>
      </c>
      <c r="E11" t="s">
        <v>28</v>
      </c>
      <c r="F11" s="14">
        <v>106</v>
      </c>
      <c r="G11">
        <v>119</v>
      </c>
      <c r="H11">
        <v>20</v>
      </c>
      <c r="I11">
        <v>26</v>
      </c>
      <c r="J11" t="str">
        <f>VLOOKUP(A11,[1]Snacks!$B:$F,5,0)</f>
        <v>26  / Outer Case</v>
      </c>
      <c r="K11">
        <f>VLOOKUP(A11,[1]Snacks!$B:$G,6,0)</f>
        <v>5</v>
      </c>
      <c r="L11">
        <f>VLOOKUP(A11,[1]Snacks!$B:$H,7,0)</f>
        <v>4</v>
      </c>
      <c r="M11">
        <f>VLOOKUP(A11,[1]Snacks!$B:$I,8,0)</f>
        <v>20</v>
      </c>
    </row>
    <row r="12" spans="1:13" x14ac:dyDescent="0.25">
      <c r="A12" s="177">
        <v>410812</v>
      </c>
      <c r="B12" s="178">
        <v>6009184110486</v>
      </c>
      <c r="C12" s="12" t="s">
        <v>37</v>
      </c>
      <c r="D12" t="s">
        <v>38</v>
      </c>
      <c r="E12" t="s">
        <v>28</v>
      </c>
      <c r="F12" s="14">
        <v>106</v>
      </c>
      <c r="G12">
        <v>119</v>
      </c>
      <c r="H12">
        <v>20</v>
      </c>
      <c r="I12">
        <v>26</v>
      </c>
      <c r="J12" t="str">
        <f>VLOOKUP(A12,[1]Snacks!$B:$F,5,0)</f>
        <v>26  / Outer Case</v>
      </c>
      <c r="K12">
        <f>VLOOKUP(A12,[1]Snacks!$B:$G,6,0)</f>
        <v>5</v>
      </c>
      <c r="L12">
        <f>VLOOKUP(A12,[1]Snacks!$B:$H,7,0)</f>
        <v>4</v>
      </c>
      <c r="M12">
        <f>VLOOKUP(A12,[1]Snacks!$B:$I,8,0)</f>
        <v>20</v>
      </c>
    </row>
    <row r="13" spans="1:13" x14ac:dyDescent="0.25">
      <c r="A13" s="177">
        <v>410819</v>
      </c>
      <c r="B13" s="178">
        <v>6009214098296</v>
      </c>
      <c r="C13" s="12" t="s">
        <v>40</v>
      </c>
      <c r="D13" t="s">
        <v>41</v>
      </c>
      <c r="E13" t="s">
        <v>28</v>
      </c>
      <c r="F13" s="14">
        <v>106</v>
      </c>
      <c r="G13">
        <v>119</v>
      </c>
      <c r="H13">
        <v>20</v>
      </c>
      <c r="I13">
        <v>26</v>
      </c>
      <c r="J13" t="str">
        <f>VLOOKUP(A13,[1]Snacks!$B:$F,5,0)</f>
        <v>26  / Outer Case</v>
      </c>
      <c r="K13">
        <f>VLOOKUP(A13,[1]Snacks!$B:$G,6,0)</f>
        <v>5</v>
      </c>
      <c r="L13">
        <f>VLOOKUP(A13,[1]Snacks!$B:$H,7,0)</f>
        <v>4</v>
      </c>
      <c r="M13">
        <f>VLOOKUP(A13,[1]Snacks!$B:$I,8,0)</f>
        <v>20</v>
      </c>
    </row>
    <row r="14" spans="1:13" x14ac:dyDescent="0.25">
      <c r="A14" s="177">
        <v>410809</v>
      </c>
      <c r="B14" s="178">
        <v>6009226480089</v>
      </c>
      <c r="C14" s="12">
        <v>6009226480089</v>
      </c>
      <c r="D14" t="s">
        <v>43</v>
      </c>
      <c r="E14" t="s">
        <v>28</v>
      </c>
      <c r="F14" s="14">
        <v>106</v>
      </c>
      <c r="G14">
        <v>119</v>
      </c>
      <c r="H14">
        <v>20</v>
      </c>
      <c r="I14">
        <v>26</v>
      </c>
      <c r="J14" t="str">
        <f>VLOOKUP(A14,[1]Snacks!$B:$F,5,0)</f>
        <v>26 / Outer Case</v>
      </c>
      <c r="K14">
        <f>VLOOKUP(A14,[1]Snacks!$B:$G,6,0)</f>
        <v>5</v>
      </c>
      <c r="L14">
        <f>VLOOKUP(A14,[1]Snacks!$B:$H,7,0)</f>
        <v>4</v>
      </c>
      <c r="M14">
        <f>VLOOKUP(A14,[1]Snacks!$B:$I,8,0)</f>
        <v>20</v>
      </c>
    </row>
    <row r="15" spans="1:13" x14ac:dyDescent="0.25">
      <c r="A15" s="177">
        <v>410820</v>
      </c>
      <c r="B15" s="178">
        <v>6009226451577</v>
      </c>
      <c r="C15" s="12">
        <v>6009226451577</v>
      </c>
      <c r="D15" t="s">
        <v>45</v>
      </c>
      <c r="E15" t="s">
        <v>24</v>
      </c>
      <c r="F15" s="14">
        <v>106</v>
      </c>
      <c r="G15">
        <v>119</v>
      </c>
      <c r="H15">
        <v>42</v>
      </c>
      <c r="I15">
        <v>24</v>
      </c>
      <c r="J15" t="str">
        <f>VLOOKUP(A15,[1]Snacks!$B:$F,5,0)</f>
        <v>24 / Outer Case</v>
      </c>
      <c r="K15">
        <f>VLOOKUP(A15,[1]Snacks!$B:$G,6,0)</f>
        <v>6</v>
      </c>
      <c r="L15">
        <f>VLOOKUP(A15,[1]Snacks!$B:$H,7,0)</f>
        <v>7</v>
      </c>
      <c r="M15">
        <f>VLOOKUP(A15,[1]Snacks!$B:$I,8,0)</f>
        <v>42</v>
      </c>
    </row>
    <row r="16" spans="1:13" x14ac:dyDescent="0.25">
      <c r="A16" s="177">
        <v>410802</v>
      </c>
      <c r="B16" s="178">
        <v>6009226478611</v>
      </c>
      <c r="C16" s="12">
        <v>6009226478611</v>
      </c>
      <c r="D16" t="s">
        <v>47</v>
      </c>
      <c r="E16" t="s">
        <v>28</v>
      </c>
      <c r="F16" s="14">
        <v>106</v>
      </c>
      <c r="G16">
        <v>119</v>
      </c>
      <c r="H16">
        <v>20</v>
      </c>
      <c r="I16">
        <v>26</v>
      </c>
      <c r="J16" t="str">
        <f>VLOOKUP(A16,[1]Snacks!$B:$F,5,0)</f>
        <v>26 / Outer Case</v>
      </c>
      <c r="K16">
        <f>VLOOKUP(A16,[1]Snacks!$B:$G,6,0)</f>
        <v>5</v>
      </c>
      <c r="L16">
        <f>VLOOKUP(A16,[1]Snacks!$B:$H,7,0)</f>
        <v>4</v>
      </c>
      <c r="M16">
        <f>VLOOKUP(A16,[1]Snacks!$B:$I,8,0)</f>
        <v>20</v>
      </c>
    </row>
    <row r="17" spans="1:13" x14ac:dyDescent="0.25">
      <c r="A17" s="177">
        <v>410801</v>
      </c>
      <c r="B17" s="178">
        <v>6009226462993</v>
      </c>
      <c r="C17" s="12">
        <v>6009226462993</v>
      </c>
      <c r="D17" t="s">
        <v>49</v>
      </c>
      <c r="E17" t="s">
        <v>28</v>
      </c>
      <c r="F17" s="14">
        <v>106</v>
      </c>
      <c r="G17">
        <v>119</v>
      </c>
      <c r="H17">
        <v>20</v>
      </c>
      <c r="I17">
        <v>26</v>
      </c>
      <c r="J17" t="str">
        <f>VLOOKUP(A17,[1]Snacks!$B:$F,5,0)</f>
        <v>26 / Outer Case</v>
      </c>
      <c r="K17">
        <f>VLOOKUP(A17,[1]Snacks!$B:$G,6,0)</f>
        <v>5</v>
      </c>
      <c r="L17">
        <f>VLOOKUP(A17,[1]Snacks!$B:$H,7,0)</f>
        <v>4</v>
      </c>
      <c r="M17">
        <f>VLOOKUP(A17,[1]Snacks!$B:$I,8,0)</f>
        <v>20</v>
      </c>
    </row>
    <row r="18" spans="1:13" x14ac:dyDescent="0.25">
      <c r="A18" s="177">
        <v>410827</v>
      </c>
      <c r="B18" s="178">
        <v>6009245410159</v>
      </c>
      <c r="C18" s="12">
        <v>6009245410159</v>
      </c>
      <c r="D18" t="s">
        <v>51</v>
      </c>
      <c r="E18" t="s">
        <v>28</v>
      </c>
      <c r="F18" s="14">
        <v>106</v>
      </c>
      <c r="G18">
        <v>119</v>
      </c>
      <c r="H18">
        <v>20</v>
      </c>
      <c r="I18">
        <v>26</v>
      </c>
      <c r="J18" t="str">
        <f>VLOOKUP(A18,[1]Snacks!$B:$F,5,0)</f>
        <v>26 / Outer Case</v>
      </c>
      <c r="K18">
        <f>VLOOKUP(A18,[1]Snacks!$B:$G,6,0)</f>
        <v>5</v>
      </c>
      <c r="L18">
        <f>VLOOKUP(A18,[1]Snacks!$B:$H,7,0)</f>
        <v>4</v>
      </c>
      <c r="M18">
        <f>VLOOKUP(A18,[1]Snacks!$B:$I,8,0)</f>
        <v>20</v>
      </c>
    </row>
    <row r="19" spans="1:13" x14ac:dyDescent="0.25">
      <c r="A19" s="177">
        <v>410823</v>
      </c>
      <c r="B19" s="178">
        <v>6009245410104</v>
      </c>
      <c r="C19" s="12">
        <v>6009245410104</v>
      </c>
      <c r="D19" t="s">
        <v>53</v>
      </c>
      <c r="E19" t="s">
        <v>24</v>
      </c>
      <c r="F19" s="14">
        <v>106</v>
      </c>
      <c r="G19">
        <v>119</v>
      </c>
      <c r="H19">
        <v>42</v>
      </c>
      <c r="I19">
        <v>24</v>
      </c>
      <c r="J19" t="str">
        <f>VLOOKUP(A19,[1]Snacks!$B:$F,5,0)</f>
        <v>24 / Outer Case</v>
      </c>
      <c r="K19">
        <f>VLOOKUP(A19,[1]Snacks!$B:$G,6,0)</f>
        <v>6</v>
      </c>
      <c r="L19">
        <f>VLOOKUP(A19,[1]Snacks!$B:$H,7,0)</f>
        <v>7</v>
      </c>
      <c r="M19">
        <f>VLOOKUP(A19,[1]Snacks!$B:$I,8,0)</f>
        <v>42</v>
      </c>
    </row>
    <row r="20" spans="1:13" x14ac:dyDescent="0.25">
      <c r="A20" s="177">
        <v>410824</v>
      </c>
      <c r="B20" s="178">
        <v>6009245410111</v>
      </c>
      <c r="C20" s="12">
        <v>6009245410111</v>
      </c>
      <c r="D20" t="s">
        <v>55</v>
      </c>
      <c r="E20" t="s">
        <v>28</v>
      </c>
      <c r="F20" s="14">
        <v>106</v>
      </c>
      <c r="G20">
        <v>119</v>
      </c>
      <c r="H20">
        <v>20</v>
      </c>
      <c r="I20">
        <v>26</v>
      </c>
      <c r="J20" t="str">
        <f>VLOOKUP(A20,[1]Snacks!$B:$F,5,0)</f>
        <v>26 / Outer Case</v>
      </c>
      <c r="K20">
        <f>VLOOKUP(A20,[1]Snacks!$B:$G,6,0)</f>
        <v>5</v>
      </c>
      <c r="L20">
        <f>VLOOKUP(A20,[1]Snacks!$B:$H,7,0)</f>
        <v>4</v>
      </c>
      <c r="M20">
        <f>VLOOKUP(A20,[1]Snacks!$B:$I,8,0)</f>
        <v>20</v>
      </c>
    </row>
    <row r="21" spans="1:13" x14ac:dyDescent="0.25">
      <c r="A21" s="177">
        <v>410821</v>
      </c>
      <c r="B21" s="178">
        <v>6009245410081</v>
      </c>
      <c r="C21" s="12">
        <v>6009245410081</v>
      </c>
      <c r="D21" t="s">
        <v>57</v>
      </c>
      <c r="E21" t="s">
        <v>24</v>
      </c>
      <c r="F21" s="14">
        <v>106</v>
      </c>
      <c r="G21">
        <v>119</v>
      </c>
      <c r="H21">
        <v>42</v>
      </c>
      <c r="I21">
        <v>24</v>
      </c>
      <c r="J21" t="str">
        <f>VLOOKUP(A21,[1]Snacks!$B:$F,5,0)</f>
        <v>24 / Outer Case</v>
      </c>
      <c r="K21">
        <f>VLOOKUP(A21,[1]Snacks!$B:$G,6,0)</f>
        <v>6</v>
      </c>
      <c r="L21">
        <f>VLOOKUP(A21,[1]Snacks!$B:$H,7,0)</f>
        <v>7</v>
      </c>
      <c r="M21">
        <f>VLOOKUP(A21,[1]Snacks!$B:$I,8,0)</f>
        <v>42</v>
      </c>
    </row>
    <row r="22" spans="1:13" x14ac:dyDescent="0.25">
      <c r="A22" s="177">
        <v>410822</v>
      </c>
      <c r="B22" s="178">
        <v>6009245410098</v>
      </c>
      <c r="C22" s="12">
        <v>6009245410098</v>
      </c>
      <c r="D22" t="s">
        <v>59</v>
      </c>
      <c r="E22" t="s">
        <v>28</v>
      </c>
      <c r="F22" s="14">
        <v>106</v>
      </c>
      <c r="G22">
        <v>119</v>
      </c>
      <c r="H22">
        <v>20</v>
      </c>
      <c r="I22">
        <v>26</v>
      </c>
      <c r="J22" t="str">
        <f>VLOOKUP(A22,[1]Snacks!$B:$F,5,0)</f>
        <v>26 / Outer Case</v>
      </c>
      <c r="K22">
        <f>VLOOKUP(A22,[1]Snacks!$B:$G,6,0)</f>
        <v>5</v>
      </c>
      <c r="L22">
        <f>VLOOKUP(A22,[1]Snacks!$B:$H,7,0)</f>
        <v>4</v>
      </c>
      <c r="M22">
        <f>VLOOKUP(A22,[1]Snacks!$B:$I,8,0)</f>
        <v>20</v>
      </c>
    </row>
    <row r="23" spans="1:13" x14ac:dyDescent="0.25">
      <c r="A23" s="177">
        <v>410825</v>
      </c>
      <c r="B23" s="178">
        <v>6009245410128</v>
      </c>
      <c r="C23" s="12">
        <v>6009245410128</v>
      </c>
      <c r="D23" t="s">
        <v>61</v>
      </c>
      <c r="E23" t="s">
        <v>62</v>
      </c>
      <c r="F23" s="14">
        <v>106</v>
      </c>
      <c r="G23">
        <v>119</v>
      </c>
      <c r="H23">
        <v>42</v>
      </c>
      <c r="I23">
        <v>24</v>
      </c>
      <c r="J23" t="str">
        <f>VLOOKUP(A23,[1]Snacks!$B:$F,5,0)</f>
        <v>24 / Outer Case</v>
      </c>
      <c r="K23">
        <f>VLOOKUP(A23,[1]Snacks!$B:$G,6,0)</f>
        <v>6</v>
      </c>
      <c r="L23">
        <f>VLOOKUP(A23,[1]Snacks!$B:$H,7,0)</f>
        <v>7</v>
      </c>
      <c r="M23">
        <f>VLOOKUP(A23,[1]Snacks!$B:$I,8,0)</f>
        <v>42</v>
      </c>
    </row>
    <row r="24" spans="1:13" x14ac:dyDescent="0.25">
      <c r="A24" s="177">
        <v>410905</v>
      </c>
      <c r="B24" s="178">
        <v>6009173755049</v>
      </c>
      <c r="C24" s="12">
        <v>6009173755049</v>
      </c>
      <c r="D24" t="s">
        <v>64</v>
      </c>
      <c r="E24" t="s">
        <v>24</v>
      </c>
      <c r="F24" s="14">
        <v>106</v>
      </c>
      <c r="G24">
        <v>119</v>
      </c>
      <c r="H24">
        <v>42</v>
      </c>
      <c r="I24">
        <v>42</v>
      </c>
      <c r="J24" t="str">
        <f>VLOOKUP(A24,[1]Snacks!$B:$F,5,0)</f>
        <v>42 / Outer Case</v>
      </c>
      <c r="K24">
        <f>VLOOKUP(A24,[1]Snacks!$B:$G,6,0)</f>
        <v>6</v>
      </c>
      <c r="L24">
        <f>VLOOKUP(A24,[1]Snacks!$B:$H,7,0)</f>
        <v>7</v>
      </c>
      <c r="M24">
        <f>VLOOKUP(A24,[1]Snacks!$B:$I,8,0)</f>
        <v>42</v>
      </c>
    </row>
    <row r="25" spans="1:13" x14ac:dyDescent="0.25">
      <c r="A25" s="177">
        <v>410907</v>
      </c>
      <c r="B25" s="178">
        <v>6009173755087</v>
      </c>
      <c r="C25" s="12" t="s">
        <v>66</v>
      </c>
      <c r="D25" t="s">
        <v>67</v>
      </c>
      <c r="E25" t="s">
        <v>28</v>
      </c>
      <c r="F25" s="14">
        <v>106</v>
      </c>
      <c r="G25">
        <v>119</v>
      </c>
      <c r="H25">
        <v>42</v>
      </c>
      <c r="I25">
        <v>16</v>
      </c>
      <c r="J25" t="str">
        <f>VLOOKUP(A25,[1]Snacks!$B:$F,5,0)</f>
        <v>16 / Outer Case</v>
      </c>
      <c r="K25">
        <f>VLOOKUP(A25,[1]Snacks!$B:$G,6,0)</f>
        <v>6</v>
      </c>
      <c r="L25">
        <f>VLOOKUP(A25,[1]Snacks!$B:$H,7,0)</f>
        <v>7</v>
      </c>
      <c r="M25">
        <f>VLOOKUP(A25,[1]Snacks!$B:$I,8,0)</f>
        <v>42</v>
      </c>
    </row>
    <row r="26" spans="1:13" x14ac:dyDescent="0.25">
      <c r="A26" s="177">
        <v>410901</v>
      </c>
      <c r="B26" s="178">
        <v>6009184110417</v>
      </c>
      <c r="C26" s="12" t="s">
        <v>69</v>
      </c>
      <c r="D26" t="s">
        <v>70</v>
      </c>
      <c r="E26" t="s">
        <v>28</v>
      </c>
      <c r="F26" s="14">
        <v>106</v>
      </c>
      <c r="G26">
        <v>119</v>
      </c>
      <c r="H26">
        <v>42</v>
      </c>
      <c r="I26">
        <v>16</v>
      </c>
      <c r="J26" t="str">
        <f>VLOOKUP(A26,[1]Snacks!$B:$F,5,0)</f>
        <v>16 / Outer Case</v>
      </c>
      <c r="K26">
        <f>VLOOKUP(A26,[1]Snacks!$B:$G,6,0)</f>
        <v>6</v>
      </c>
      <c r="L26">
        <f>VLOOKUP(A26,[1]Snacks!$B:$H,7,0)</f>
        <v>7</v>
      </c>
      <c r="M26">
        <f>VLOOKUP(A26,[1]Snacks!$B:$I,8,0)</f>
        <v>42</v>
      </c>
    </row>
    <row r="27" spans="1:13" x14ac:dyDescent="0.25">
      <c r="A27" s="177">
        <v>410904</v>
      </c>
      <c r="B27" s="178">
        <v>6009173755056</v>
      </c>
      <c r="C27" s="12" t="s">
        <v>72</v>
      </c>
      <c r="D27" t="s">
        <v>73</v>
      </c>
      <c r="E27" t="s">
        <v>24</v>
      </c>
      <c r="F27" s="14">
        <v>106</v>
      </c>
      <c r="G27">
        <v>119</v>
      </c>
      <c r="H27">
        <v>42</v>
      </c>
      <c r="I27">
        <v>42</v>
      </c>
      <c r="J27" t="str">
        <f>VLOOKUP(A27,[1]Snacks!$B:$F,5,0)</f>
        <v>42 / Outer Case</v>
      </c>
      <c r="K27">
        <f>VLOOKUP(A27,[1]Snacks!$B:$G,6,0)</f>
        <v>6</v>
      </c>
      <c r="L27">
        <f>VLOOKUP(A27,[1]Snacks!$B:$H,7,0)</f>
        <v>7</v>
      </c>
      <c r="M27">
        <f>VLOOKUP(A27,[1]Snacks!$B:$I,8,0)</f>
        <v>42</v>
      </c>
    </row>
    <row r="28" spans="1:13" x14ac:dyDescent="0.25">
      <c r="A28" s="177">
        <v>410909</v>
      </c>
      <c r="B28" s="178">
        <v>6009211697836</v>
      </c>
      <c r="C28" s="12">
        <v>6009211697836</v>
      </c>
      <c r="D28" t="s">
        <v>75</v>
      </c>
      <c r="E28" t="s">
        <v>28</v>
      </c>
      <c r="F28" s="14">
        <v>106</v>
      </c>
      <c r="G28">
        <v>119</v>
      </c>
      <c r="H28">
        <v>42</v>
      </c>
      <c r="I28">
        <v>16</v>
      </c>
      <c r="J28" t="str">
        <f>VLOOKUP(A28,[1]Snacks!$B:$F,5,0)</f>
        <v>16 / Outer Case</v>
      </c>
      <c r="K28">
        <f>VLOOKUP(A28,[1]Snacks!$B:$G,6,0)</f>
        <v>6</v>
      </c>
      <c r="L28">
        <f>VLOOKUP(A28,[1]Snacks!$B:$H,7,0)</f>
        <v>7</v>
      </c>
      <c r="M28">
        <f>VLOOKUP(A28,[1]Snacks!$B:$I,8,0)</f>
        <v>42</v>
      </c>
    </row>
    <row r="29" spans="1:13" x14ac:dyDescent="0.25">
      <c r="A29" s="177">
        <v>410911</v>
      </c>
      <c r="B29" s="178">
        <v>6009226451560</v>
      </c>
      <c r="C29" s="12">
        <v>6009226451560</v>
      </c>
      <c r="D29" t="s">
        <v>77</v>
      </c>
      <c r="E29" t="s">
        <v>24</v>
      </c>
      <c r="F29" s="14">
        <v>106</v>
      </c>
      <c r="G29">
        <v>119</v>
      </c>
      <c r="H29">
        <v>42</v>
      </c>
      <c r="I29">
        <v>42</v>
      </c>
      <c r="J29" t="str">
        <f>VLOOKUP(A29,[1]Snacks!$B:$F,5,0)</f>
        <v>42 / Outer Case</v>
      </c>
      <c r="K29">
        <f>VLOOKUP(A29,[1]Snacks!$B:$G,6,0)</f>
        <v>6</v>
      </c>
      <c r="L29">
        <f>VLOOKUP(A29,[1]Snacks!$B:$H,7,0)</f>
        <v>7</v>
      </c>
      <c r="M29">
        <f>VLOOKUP(A29,[1]Snacks!$B:$I,8,0)</f>
        <v>42</v>
      </c>
    </row>
    <row r="30" spans="1:13" x14ac:dyDescent="0.25">
      <c r="A30" s="177">
        <v>410913</v>
      </c>
      <c r="B30" s="178">
        <v>6009226462986</v>
      </c>
      <c r="C30" s="12">
        <v>6009226462986</v>
      </c>
      <c r="D30" t="s">
        <v>79</v>
      </c>
      <c r="E30" t="s">
        <v>28</v>
      </c>
      <c r="F30" s="14">
        <v>106</v>
      </c>
      <c r="G30">
        <v>119</v>
      </c>
      <c r="H30">
        <v>42</v>
      </c>
      <c r="I30">
        <v>16</v>
      </c>
      <c r="J30" t="str">
        <f>VLOOKUP(A30,[1]Snacks!$B:$F,5,0)</f>
        <v>16 / Outer Case</v>
      </c>
      <c r="K30">
        <f>VLOOKUP(A30,[1]Snacks!$B:$G,6,0)</f>
        <v>6</v>
      </c>
      <c r="L30">
        <f>VLOOKUP(A30,[1]Snacks!$B:$H,7,0)</f>
        <v>7</v>
      </c>
      <c r="M30">
        <f>VLOOKUP(A30,[1]Snacks!$B:$I,8,0)</f>
        <v>42</v>
      </c>
    </row>
    <row r="31" spans="1:13" x14ac:dyDescent="0.25">
      <c r="A31" s="177">
        <v>410916</v>
      </c>
      <c r="B31" s="178">
        <v>6009226652455</v>
      </c>
      <c r="C31" s="12">
        <v>6009226652455</v>
      </c>
      <c r="D31" t="s">
        <v>81</v>
      </c>
      <c r="E31" t="s">
        <v>24</v>
      </c>
      <c r="F31" s="14">
        <v>106</v>
      </c>
      <c r="G31">
        <v>119</v>
      </c>
      <c r="H31">
        <v>42</v>
      </c>
      <c r="I31">
        <v>42</v>
      </c>
      <c r="J31" t="str">
        <f>VLOOKUP(A31,[1]Snacks!$B:$F,5,0)</f>
        <v>42 / Outer Case</v>
      </c>
      <c r="K31">
        <f>VLOOKUP(A31,[1]Snacks!$B:$G,6,0)</f>
        <v>6</v>
      </c>
      <c r="L31">
        <f>VLOOKUP(A31,[1]Snacks!$B:$H,7,0)</f>
        <v>7</v>
      </c>
      <c r="M31">
        <f>VLOOKUP(A31,[1]Snacks!$B:$I,8,0)</f>
        <v>42</v>
      </c>
    </row>
    <row r="32" spans="1:13" x14ac:dyDescent="0.25">
      <c r="A32" s="177">
        <v>410914</v>
      </c>
      <c r="B32" s="178">
        <v>6009226478628</v>
      </c>
      <c r="C32" s="12">
        <v>6009226478628</v>
      </c>
      <c r="D32" t="s">
        <v>83</v>
      </c>
      <c r="E32" t="s">
        <v>28</v>
      </c>
      <c r="F32" s="14">
        <v>106</v>
      </c>
      <c r="G32">
        <v>119</v>
      </c>
      <c r="H32">
        <v>42</v>
      </c>
      <c r="I32">
        <v>16</v>
      </c>
      <c r="J32" t="str">
        <f>VLOOKUP(A32,[1]Snacks!$B:$F,5,0)</f>
        <v>16 / Outer Case</v>
      </c>
      <c r="K32">
        <f>VLOOKUP(A32,[1]Snacks!$B:$G,6,0)</f>
        <v>6</v>
      </c>
      <c r="L32">
        <f>VLOOKUP(A32,[1]Snacks!$B:$H,7,0)</f>
        <v>7</v>
      </c>
      <c r="M32">
        <f>VLOOKUP(A32,[1]Snacks!$B:$I,8,0)</f>
        <v>42</v>
      </c>
    </row>
    <row r="33" spans="1:13" x14ac:dyDescent="0.25">
      <c r="A33" s="177">
        <v>410912</v>
      </c>
      <c r="B33" s="178">
        <v>6009226451584</v>
      </c>
      <c r="C33" s="12">
        <v>6009226451584</v>
      </c>
      <c r="D33" t="s">
        <v>85</v>
      </c>
      <c r="E33" t="s">
        <v>28</v>
      </c>
      <c r="F33" s="14">
        <v>106</v>
      </c>
      <c r="G33">
        <v>119</v>
      </c>
      <c r="H33">
        <v>42</v>
      </c>
      <c r="I33">
        <v>16</v>
      </c>
      <c r="J33" t="str">
        <f>VLOOKUP(A33,[1]Snacks!$B:$F,5,0)</f>
        <v>16 / Outer Case</v>
      </c>
      <c r="K33">
        <f>VLOOKUP(A33,[1]Snacks!$B:$G,6,0)</f>
        <v>6</v>
      </c>
      <c r="L33">
        <f>VLOOKUP(A33,[1]Snacks!$B:$H,7,0)</f>
        <v>7</v>
      </c>
      <c r="M33">
        <f>VLOOKUP(A33,[1]Snacks!$B:$I,8,0)</f>
        <v>42</v>
      </c>
    </row>
    <row r="34" spans="1:13" x14ac:dyDescent="0.25">
      <c r="A34" s="177">
        <v>410612</v>
      </c>
      <c r="B34" s="178">
        <v>6009223192367</v>
      </c>
      <c r="C34" s="12" t="s">
        <v>87</v>
      </c>
      <c r="D34" t="s">
        <v>88</v>
      </c>
      <c r="E34" t="s">
        <v>89</v>
      </c>
      <c r="F34" s="14">
        <v>98</v>
      </c>
      <c r="G34">
        <v>112</v>
      </c>
      <c r="H34">
        <v>30</v>
      </c>
      <c r="I34">
        <v>48</v>
      </c>
      <c r="J34" t="str">
        <f>VLOOKUP(A34,[1]Snacks!$B:$F,5,0)</f>
        <v>48 / Outer Case</v>
      </c>
      <c r="K34">
        <f>VLOOKUP(A34,[1]Snacks!$B:$G,6,0)</f>
        <v>6</v>
      </c>
      <c r="L34">
        <f>VLOOKUP(A34,[1]Snacks!$B:$H,7,0)</f>
        <v>5</v>
      </c>
      <c r="M34">
        <f>VLOOKUP(A34,[1]Snacks!$B:$I,8,0)</f>
        <v>30</v>
      </c>
    </row>
    <row r="35" spans="1:13" x14ac:dyDescent="0.25">
      <c r="A35" s="177">
        <v>410611</v>
      </c>
      <c r="B35" s="178">
        <v>6009223192336</v>
      </c>
      <c r="C35" s="12" t="s">
        <v>91</v>
      </c>
      <c r="D35" t="s">
        <v>92</v>
      </c>
      <c r="E35" t="s">
        <v>93</v>
      </c>
      <c r="F35" s="14">
        <v>98</v>
      </c>
      <c r="G35">
        <v>112</v>
      </c>
      <c r="H35">
        <v>20</v>
      </c>
      <c r="I35">
        <v>20</v>
      </c>
      <c r="J35" t="str">
        <f>VLOOKUP(A35,[1]Snacks!$B:$F,5,0)</f>
        <v>20 / Outer Case</v>
      </c>
      <c r="K35">
        <f>VLOOKUP(A35,[1]Snacks!$B:$G,6,0)</f>
        <v>5</v>
      </c>
      <c r="L35">
        <f>VLOOKUP(A35,[1]Snacks!$B:$H,7,0)</f>
        <v>4</v>
      </c>
      <c r="M35">
        <f>VLOOKUP(A35,[1]Snacks!$B:$I,8,0)</f>
        <v>20</v>
      </c>
    </row>
    <row r="36" spans="1:13" x14ac:dyDescent="0.25">
      <c r="A36" s="177">
        <v>410605</v>
      </c>
      <c r="B36" s="178">
        <v>6009175940368</v>
      </c>
      <c r="C36" s="12">
        <v>6009175940368</v>
      </c>
      <c r="D36" t="s">
        <v>95</v>
      </c>
      <c r="E36" t="s">
        <v>89</v>
      </c>
      <c r="F36" s="14">
        <v>98</v>
      </c>
      <c r="G36">
        <v>112</v>
      </c>
      <c r="H36">
        <v>30</v>
      </c>
      <c r="I36">
        <v>48</v>
      </c>
      <c r="J36" t="str">
        <f>VLOOKUP(A36,[1]Snacks!$B:$F,5,0)</f>
        <v>48 / Outer Case</v>
      </c>
      <c r="K36">
        <f>VLOOKUP(A36,[1]Snacks!$B:$G,6,0)</f>
        <v>6</v>
      </c>
      <c r="L36">
        <f>VLOOKUP(A36,[1]Snacks!$B:$H,7,0)</f>
        <v>5</v>
      </c>
      <c r="M36">
        <f>VLOOKUP(A36,[1]Snacks!$B:$I,8,0)</f>
        <v>30</v>
      </c>
    </row>
    <row r="37" spans="1:13" x14ac:dyDescent="0.25">
      <c r="A37" s="177">
        <v>410604</v>
      </c>
      <c r="B37" s="178">
        <v>20024277</v>
      </c>
      <c r="C37" s="12" t="s">
        <v>97</v>
      </c>
      <c r="D37" t="s">
        <v>98</v>
      </c>
      <c r="E37" t="s">
        <v>99</v>
      </c>
      <c r="F37" s="14">
        <v>98</v>
      </c>
      <c r="G37">
        <v>112</v>
      </c>
      <c r="H37">
        <v>20</v>
      </c>
      <c r="I37">
        <v>20</v>
      </c>
      <c r="J37" t="str">
        <f>VLOOKUP(A37,[1]Snacks!$B:$F,5,0)</f>
        <v>20 / Outer Case</v>
      </c>
      <c r="K37">
        <f>VLOOKUP(A37,[1]Snacks!$B:$G,6,0)</f>
        <v>5</v>
      </c>
      <c r="L37">
        <f>VLOOKUP(A37,[1]Snacks!$B:$H,7,0)</f>
        <v>4</v>
      </c>
      <c r="M37">
        <f>VLOOKUP(A37,[1]Snacks!$B:$I,8,0)</f>
        <v>20</v>
      </c>
    </row>
    <row r="38" spans="1:13" x14ac:dyDescent="0.25">
      <c r="A38" s="177">
        <v>410607</v>
      </c>
      <c r="B38" s="178">
        <v>6009175940382</v>
      </c>
      <c r="C38" s="12" t="s">
        <v>101</v>
      </c>
      <c r="D38" t="s">
        <v>102</v>
      </c>
      <c r="E38" t="s">
        <v>89</v>
      </c>
      <c r="F38" s="14">
        <v>98</v>
      </c>
      <c r="G38">
        <v>112</v>
      </c>
      <c r="H38">
        <v>30</v>
      </c>
      <c r="I38">
        <v>48</v>
      </c>
      <c r="J38" t="str">
        <f>VLOOKUP(A38,[1]Snacks!$B:$F,5,0)</f>
        <v>48 / Outer Case</v>
      </c>
      <c r="K38">
        <f>VLOOKUP(A38,[1]Snacks!$B:$G,6,0)</f>
        <v>6</v>
      </c>
      <c r="L38">
        <f>VLOOKUP(A38,[1]Snacks!$B:$H,7,0)</f>
        <v>5</v>
      </c>
      <c r="M38">
        <f>VLOOKUP(A38,[1]Snacks!$B:$I,8,0)</f>
        <v>30</v>
      </c>
    </row>
    <row r="39" spans="1:13" x14ac:dyDescent="0.25">
      <c r="A39" s="177">
        <v>410602</v>
      </c>
      <c r="B39" s="178">
        <v>6009178477823</v>
      </c>
      <c r="C39" s="12" t="s">
        <v>104</v>
      </c>
      <c r="D39" t="s">
        <v>105</v>
      </c>
      <c r="E39" t="s">
        <v>93</v>
      </c>
      <c r="F39" s="14">
        <v>98</v>
      </c>
      <c r="G39">
        <v>112</v>
      </c>
      <c r="H39">
        <v>20</v>
      </c>
      <c r="I39">
        <v>20</v>
      </c>
      <c r="J39" t="str">
        <f>VLOOKUP(A39,[1]Snacks!$B:$F,5,0)</f>
        <v>20 / Outer Case</v>
      </c>
      <c r="K39">
        <f>VLOOKUP(A39,[1]Snacks!$B:$G,6,0)</f>
        <v>5</v>
      </c>
      <c r="L39">
        <f>VLOOKUP(A39,[1]Snacks!$B:$H,7,0)</f>
        <v>4</v>
      </c>
      <c r="M39">
        <f>VLOOKUP(A39,[1]Snacks!$B:$I,8,0)</f>
        <v>20</v>
      </c>
    </row>
    <row r="40" spans="1:13" x14ac:dyDescent="0.25">
      <c r="A40" s="177">
        <v>410606</v>
      </c>
      <c r="B40" s="178">
        <v>6009175940399</v>
      </c>
      <c r="C40" s="12" t="s">
        <v>107</v>
      </c>
      <c r="D40" t="s">
        <v>108</v>
      </c>
      <c r="E40" t="s">
        <v>109</v>
      </c>
      <c r="F40" s="14">
        <v>98</v>
      </c>
      <c r="G40">
        <v>112</v>
      </c>
      <c r="H40">
        <v>20</v>
      </c>
      <c r="I40">
        <v>20</v>
      </c>
      <c r="J40" t="str">
        <f>VLOOKUP(A40,[1]Snacks!$B:$F,5,0)</f>
        <v>20 / Outer Case</v>
      </c>
      <c r="K40">
        <f>VLOOKUP(A40,[1]Snacks!$B:$G,6,0)</f>
        <v>5</v>
      </c>
      <c r="L40">
        <f>VLOOKUP(A40,[1]Snacks!$B:$H,7,0)</f>
        <v>4</v>
      </c>
      <c r="M40">
        <f>VLOOKUP(A40,[1]Snacks!$B:$I,8,0)</f>
        <v>20</v>
      </c>
    </row>
    <row r="41" spans="1:13" x14ac:dyDescent="0.25">
      <c r="A41" s="177">
        <v>410603</v>
      </c>
      <c r="B41" s="178">
        <v>6008000521604</v>
      </c>
      <c r="C41" s="12" t="s">
        <v>111</v>
      </c>
      <c r="D41" t="s">
        <v>112</v>
      </c>
      <c r="E41" t="s">
        <v>109</v>
      </c>
      <c r="F41" s="14">
        <v>98</v>
      </c>
      <c r="G41">
        <v>112</v>
      </c>
      <c r="H41">
        <v>20</v>
      </c>
      <c r="I41">
        <v>20</v>
      </c>
      <c r="J41" t="str">
        <f>VLOOKUP(A41,[1]Snacks!$B:$F,5,0)</f>
        <v>20 / Outer Case</v>
      </c>
      <c r="K41">
        <f>VLOOKUP(A41,[1]Snacks!$B:$G,6,0)</f>
        <v>5</v>
      </c>
      <c r="L41">
        <f>VLOOKUP(A41,[1]Snacks!$B:$H,7,0)</f>
        <v>4</v>
      </c>
      <c r="M41">
        <f>VLOOKUP(A41,[1]Snacks!$B:$I,8,0)</f>
        <v>20</v>
      </c>
    </row>
    <row r="42" spans="1:13" x14ac:dyDescent="0.25">
      <c r="A42" s="177">
        <v>410601</v>
      </c>
      <c r="B42" s="178">
        <v>6009175940580</v>
      </c>
      <c r="C42" s="12" t="s">
        <v>114</v>
      </c>
      <c r="D42" t="s">
        <v>115</v>
      </c>
      <c r="E42" t="s">
        <v>99</v>
      </c>
      <c r="F42" s="14">
        <v>98</v>
      </c>
      <c r="G42">
        <v>112</v>
      </c>
      <c r="H42">
        <v>20</v>
      </c>
      <c r="I42">
        <v>20</v>
      </c>
      <c r="J42" t="str">
        <f>VLOOKUP(A42,[1]Snacks!$B:$F,5,0)</f>
        <v>20 / Outer Case</v>
      </c>
      <c r="K42">
        <f>VLOOKUP(A42,[1]Snacks!$B:$G,6,0)</f>
        <v>5</v>
      </c>
      <c r="L42">
        <f>VLOOKUP(A42,[1]Snacks!$B:$H,7,0)</f>
        <v>4</v>
      </c>
      <c r="M42">
        <f>VLOOKUP(A42,[1]Snacks!$B:$I,8,0)</f>
        <v>20</v>
      </c>
    </row>
    <row r="43" spans="1:13" x14ac:dyDescent="0.25">
      <c r="A43" s="177">
        <v>410613</v>
      </c>
      <c r="B43" s="178">
        <v>6009223398301</v>
      </c>
      <c r="C43" s="12" t="s">
        <v>117</v>
      </c>
      <c r="D43" t="s">
        <v>118</v>
      </c>
      <c r="E43" t="s">
        <v>89</v>
      </c>
      <c r="F43" s="14">
        <v>98</v>
      </c>
      <c r="G43">
        <v>112</v>
      </c>
      <c r="H43">
        <v>30</v>
      </c>
      <c r="I43">
        <v>48</v>
      </c>
      <c r="J43" t="str">
        <f>VLOOKUP(A43,[1]Snacks!$B:$F,5,0)</f>
        <v>48 / Outer Case</v>
      </c>
      <c r="K43">
        <f>VLOOKUP(A43,[1]Snacks!$B:$G,6,0)</f>
        <v>6</v>
      </c>
      <c r="L43">
        <f>VLOOKUP(A43,[1]Snacks!$B:$H,7,0)</f>
        <v>5</v>
      </c>
      <c r="M43">
        <f>VLOOKUP(A43,[1]Snacks!$B:$I,8,0)</f>
        <v>30</v>
      </c>
    </row>
    <row r="44" spans="1:13" x14ac:dyDescent="0.25">
      <c r="A44" s="177">
        <v>410404</v>
      </c>
      <c r="B44" s="178">
        <v>6009214098241</v>
      </c>
      <c r="C44" s="12" t="s">
        <v>120</v>
      </c>
      <c r="D44" t="s">
        <v>121</v>
      </c>
      <c r="E44" t="s">
        <v>122</v>
      </c>
      <c r="F44" s="14">
        <v>98</v>
      </c>
      <c r="G44">
        <v>112</v>
      </c>
      <c r="H44">
        <v>30</v>
      </c>
      <c r="I44">
        <v>45</v>
      </c>
      <c r="J44" t="str">
        <f>VLOOKUP(A44,[1]Snacks!$B:$F,5,0)</f>
        <v>45 / Outer Case</v>
      </c>
      <c r="K44">
        <f>VLOOKUP(A44,[1]Snacks!$B:$G,6,0)</f>
        <v>6</v>
      </c>
      <c r="L44">
        <f>VLOOKUP(A44,[1]Snacks!$B:$H,7,0)</f>
        <v>5</v>
      </c>
      <c r="M44">
        <f>VLOOKUP(A44,[1]Snacks!$B:$I,8,0)</f>
        <v>30</v>
      </c>
    </row>
    <row r="45" spans="1:13" x14ac:dyDescent="0.25">
      <c r="A45" s="177">
        <v>410403</v>
      </c>
      <c r="B45" s="178">
        <v>6009214098258</v>
      </c>
      <c r="C45" s="12" t="s">
        <v>124</v>
      </c>
      <c r="D45" t="s">
        <v>125</v>
      </c>
      <c r="E45" t="s">
        <v>93</v>
      </c>
      <c r="F45" s="14">
        <v>98</v>
      </c>
      <c r="G45">
        <v>112</v>
      </c>
      <c r="H45">
        <v>20</v>
      </c>
      <c r="I45">
        <v>20</v>
      </c>
      <c r="J45" t="str">
        <f>VLOOKUP(A45,[1]Snacks!$B:$F,5,0)</f>
        <v>20 / Outer Case</v>
      </c>
      <c r="K45">
        <f>VLOOKUP(A45,[1]Snacks!$B:$G,6,0)</f>
        <v>5</v>
      </c>
      <c r="L45">
        <f>VLOOKUP(A45,[1]Snacks!$B:$H,7,0)</f>
        <v>4</v>
      </c>
      <c r="M45">
        <f>VLOOKUP(A45,[1]Snacks!$B:$I,8,0)</f>
        <v>20</v>
      </c>
    </row>
    <row r="46" spans="1:13" x14ac:dyDescent="0.25">
      <c r="A46" s="177">
        <v>410406</v>
      </c>
      <c r="B46" s="178">
        <v>6009214098197</v>
      </c>
      <c r="C46" s="12" t="s">
        <v>127</v>
      </c>
      <c r="D46" t="s">
        <v>128</v>
      </c>
      <c r="E46" t="s">
        <v>122</v>
      </c>
      <c r="F46" s="14">
        <v>98</v>
      </c>
      <c r="G46">
        <v>112</v>
      </c>
      <c r="H46">
        <v>30</v>
      </c>
      <c r="I46">
        <v>45</v>
      </c>
      <c r="J46" t="str">
        <f>VLOOKUP(A46,[1]Snacks!$B:$F,5,0)</f>
        <v>45 / Outer Case</v>
      </c>
      <c r="K46">
        <f>VLOOKUP(A46,[1]Snacks!$B:$G,6,0)</f>
        <v>6</v>
      </c>
      <c r="L46">
        <f>VLOOKUP(A46,[1]Snacks!$B:$H,7,0)</f>
        <v>5</v>
      </c>
      <c r="M46">
        <f>VLOOKUP(A46,[1]Snacks!$B:$I,8,0)</f>
        <v>30</v>
      </c>
    </row>
    <row r="47" spans="1:13" x14ac:dyDescent="0.25">
      <c r="A47" s="177">
        <v>410405</v>
      </c>
      <c r="B47" s="178">
        <v>6009214098203</v>
      </c>
      <c r="C47" s="12" t="s">
        <v>130</v>
      </c>
      <c r="D47" t="s">
        <v>131</v>
      </c>
      <c r="E47" t="s">
        <v>93</v>
      </c>
      <c r="F47" s="14">
        <v>98</v>
      </c>
      <c r="G47">
        <v>112</v>
      </c>
      <c r="H47">
        <v>20</v>
      </c>
      <c r="I47">
        <v>20</v>
      </c>
      <c r="J47" t="str">
        <f>VLOOKUP(A47,[1]Snacks!$B:$F,5,0)</f>
        <v>20 / Outer Case</v>
      </c>
      <c r="K47">
        <f>VLOOKUP(A47,[1]Snacks!$B:$G,6,0)</f>
        <v>5</v>
      </c>
      <c r="L47">
        <f>VLOOKUP(A47,[1]Snacks!$B:$H,7,0)</f>
        <v>4</v>
      </c>
      <c r="M47">
        <f>VLOOKUP(A47,[1]Snacks!$B:$I,8,0)</f>
        <v>20</v>
      </c>
    </row>
    <row r="48" spans="1:13" x14ac:dyDescent="0.25">
      <c r="A48" s="177">
        <v>410407</v>
      </c>
      <c r="B48" s="178">
        <v>6009223567240</v>
      </c>
      <c r="C48" s="12" t="s">
        <v>133</v>
      </c>
      <c r="D48" t="s">
        <v>134</v>
      </c>
      <c r="E48" t="s">
        <v>93</v>
      </c>
      <c r="F48" s="14">
        <v>98</v>
      </c>
      <c r="G48">
        <v>112</v>
      </c>
      <c r="H48">
        <v>20</v>
      </c>
      <c r="I48">
        <v>20</v>
      </c>
      <c r="J48" t="str">
        <f>VLOOKUP(A48,[1]Snacks!$B:$F,5,0)</f>
        <v>20 / Outer Case</v>
      </c>
      <c r="K48">
        <f>VLOOKUP(A48,[1]Snacks!$B:$G,6,0)</f>
        <v>5</v>
      </c>
      <c r="L48">
        <f>VLOOKUP(A48,[1]Snacks!$B:$H,7,0)</f>
        <v>4</v>
      </c>
      <c r="M48">
        <f>VLOOKUP(A48,[1]Snacks!$B:$I,8,0)</f>
        <v>20</v>
      </c>
    </row>
    <row r="49" spans="1:13" x14ac:dyDescent="0.25">
      <c r="A49" s="177">
        <v>410402</v>
      </c>
      <c r="B49" s="178">
        <v>6009214098265</v>
      </c>
      <c r="C49" s="12" t="s">
        <v>136</v>
      </c>
      <c r="D49" t="s">
        <v>137</v>
      </c>
      <c r="E49" t="s">
        <v>122</v>
      </c>
      <c r="F49" s="14">
        <v>98</v>
      </c>
      <c r="G49">
        <v>112</v>
      </c>
      <c r="H49">
        <v>30</v>
      </c>
      <c r="I49">
        <v>45</v>
      </c>
      <c r="J49" t="str">
        <f>VLOOKUP(A49,[1]Snacks!$B:$F,5,0)</f>
        <v>45 / Outer Case</v>
      </c>
      <c r="K49">
        <f>VLOOKUP(A49,[1]Snacks!$B:$G,6,0)</f>
        <v>6</v>
      </c>
      <c r="L49">
        <f>VLOOKUP(A49,[1]Snacks!$B:$H,7,0)</f>
        <v>5</v>
      </c>
      <c r="M49">
        <f>VLOOKUP(A49,[1]Snacks!$B:$I,8,0)</f>
        <v>30</v>
      </c>
    </row>
    <row r="50" spans="1:13" x14ac:dyDescent="0.25">
      <c r="A50" s="177">
        <v>410401</v>
      </c>
      <c r="B50" s="178">
        <v>6009214098272</v>
      </c>
      <c r="C50" s="12" t="s">
        <v>139</v>
      </c>
      <c r="D50" t="s">
        <v>140</v>
      </c>
      <c r="E50" t="s">
        <v>93</v>
      </c>
      <c r="F50" s="14">
        <v>98</v>
      </c>
      <c r="G50">
        <v>112</v>
      </c>
      <c r="H50">
        <v>20</v>
      </c>
      <c r="I50">
        <v>20</v>
      </c>
      <c r="J50" t="str">
        <f>VLOOKUP(A50,[1]Snacks!$B:$F,5,0)</f>
        <v>20 / Outer Case</v>
      </c>
      <c r="K50">
        <f>VLOOKUP(A50,[1]Snacks!$B:$G,6,0)</f>
        <v>5</v>
      </c>
      <c r="L50">
        <f>VLOOKUP(A50,[1]Snacks!$B:$H,7,0)</f>
        <v>4</v>
      </c>
      <c r="M50">
        <f>VLOOKUP(A50,[1]Snacks!$B:$I,8,0)</f>
        <v>20</v>
      </c>
    </row>
    <row r="51" spans="1:13" x14ac:dyDescent="0.25">
      <c r="A51" s="177">
        <v>410408</v>
      </c>
      <c r="B51" s="178">
        <v>6009223567257</v>
      </c>
      <c r="C51" s="12" t="s">
        <v>142</v>
      </c>
      <c r="D51" t="s">
        <v>143</v>
      </c>
      <c r="E51" t="s">
        <v>93</v>
      </c>
      <c r="F51" s="14">
        <v>98</v>
      </c>
      <c r="G51">
        <v>112</v>
      </c>
      <c r="H51">
        <v>20</v>
      </c>
      <c r="I51">
        <v>20</v>
      </c>
      <c r="J51" t="str">
        <f>VLOOKUP(A51,[1]Snacks!$B:$F,5,0)</f>
        <v>20 / Outer Case</v>
      </c>
      <c r="K51">
        <f>VLOOKUP(A51,[1]Snacks!$B:$G,6,0)</f>
        <v>5</v>
      </c>
      <c r="L51">
        <f>VLOOKUP(A51,[1]Snacks!$B:$H,7,0)</f>
        <v>4</v>
      </c>
      <c r="M51">
        <f>VLOOKUP(A51,[1]Snacks!$B:$I,8,0)</f>
        <v>20</v>
      </c>
    </row>
    <row r="52" spans="1:13" x14ac:dyDescent="0.25">
      <c r="A52" s="177">
        <v>410409</v>
      </c>
      <c r="B52" s="178">
        <v>6009223567264</v>
      </c>
      <c r="C52" s="12" t="s">
        <v>145</v>
      </c>
      <c r="D52" t="s">
        <v>146</v>
      </c>
      <c r="E52" t="s">
        <v>93</v>
      </c>
      <c r="F52" s="14">
        <v>98</v>
      </c>
      <c r="G52">
        <v>112</v>
      </c>
      <c r="H52">
        <v>20</v>
      </c>
      <c r="I52">
        <v>20</v>
      </c>
      <c r="J52" t="str">
        <f>VLOOKUP(A52,[1]Snacks!$B:$F,5,0)</f>
        <v>20 / Outer Case</v>
      </c>
      <c r="K52">
        <f>VLOOKUP(A52,[1]Snacks!$B:$G,6,0)</f>
        <v>5</v>
      </c>
      <c r="L52">
        <f>VLOOKUP(A52,[1]Snacks!$B:$H,7,0)</f>
        <v>4</v>
      </c>
      <c r="M52">
        <f>VLOOKUP(A52,[1]Snacks!$B:$I,8,0)</f>
        <v>20</v>
      </c>
    </row>
    <row r="53" spans="1:13" x14ac:dyDescent="0.25">
      <c r="A53" s="177">
        <v>410614</v>
      </c>
      <c r="B53" s="178">
        <v>6009214296180</v>
      </c>
      <c r="C53" s="12" t="s">
        <v>148</v>
      </c>
      <c r="D53" t="s">
        <v>149</v>
      </c>
      <c r="E53" t="s">
        <v>93</v>
      </c>
      <c r="F53" s="14">
        <v>98</v>
      </c>
      <c r="G53">
        <v>112</v>
      </c>
      <c r="H53">
        <v>20</v>
      </c>
      <c r="I53">
        <v>20</v>
      </c>
      <c r="J53" t="str">
        <f>VLOOKUP(A53,[1]Snacks!$B:$F,5,0)</f>
        <v>20 / Outer Case</v>
      </c>
      <c r="K53">
        <f>VLOOKUP(A53,[1]Snacks!$B:$G,6,0)</f>
        <v>5</v>
      </c>
      <c r="L53">
        <f>VLOOKUP(A53,[1]Snacks!$B:$H,7,0)</f>
        <v>4</v>
      </c>
      <c r="M53">
        <f>VLOOKUP(A53,[1]Snacks!$B:$I,8,0)</f>
        <v>20</v>
      </c>
    </row>
    <row r="54" spans="1:13" x14ac:dyDescent="0.25">
      <c r="A54" s="177">
        <v>410610</v>
      </c>
      <c r="B54" s="178">
        <v>6009223187172</v>
      </c>
      <c r="C54" s="12" t="s">
        <v>151</v>
      </c>
      <c r="D54" t="s">
        <v>152</v>
      </c>
      <c r="E54" t="s">
        <v>89</v>
      </c>
      <c r="F54" s="14">
        <v>98</v>
      </c>
      <c r="G54">
        <v>112</v>
      </c>
      <c r="H54">
        <v>30</v>
      </c>
      <c r="I54">
        <v>48</v>
      </c>
      <c r="J54" t="str">
        <f>VLOOKUP(A54,[1]Snacks!$B:$F,5,0)</f>
        <v>48 / Outer Case</v>
      </c>
      <c r="K54">
        <f>VLOOKUP(A54,[1]Snacks!$B:$G,6,0)</f>
        <v>6</v>
      </c>
      <c r="L54">
        <f>VLOOKUP(A54,[1]Snacks!$B:$H,7,0)</f>
        <v>5</v>
      </c>
      <c r="M54">
        <f>VLOOKUP(A54,[1]Snacks!$B:$I,8,0)</f>
        <v>35</v>
      </c>
    </row>
    <row r="55" spans="1:13" x14ac:dyDescent="0.25">
      <c r="A55" s="177">
        <v>410617</v>
      </c>
      <c r="B55" s="178">
        <v>6007875204742</v>
      </c>
      <c r="C55" s="12" t="s">
        <v>154</v>
      </c>
      <c r="D55" t="s">
        <v>155</v>
      </c>
      <c r="E55" t="s">
        <v>93</v>
      </c>
      <c r="F55" s="14">
        <v>98</v>
      </c>
      <c r="G55">
        <v>112</v>
      </c>
      <c r="H55">
        <v>20</v>
      </c>
      <c r="I55">
        <v>20</v>
      </c>
      <c r="J55" t="str">
        <f>VLOOKUP(A55,[1]Snacks!$B:$F,5,0)</f>
        <v>20 / Outer Case</v>
      </c>
      <c r="K55">
        <f>VLOOKUP(A55,[1]Snacks!$B:$G,6,0)</f>
        <v>5</v>
      </c>
      <c r="L55">
        <f>VLOOKUP(A55,[1]Snacks!$B:$H,7,0)</f>
        <v>4</v>
      </c>
      <c r="M55">
        <f>VLOOKUP(A55,[1]Snacks!$B:$I,8,0)</f>
        <v>20</v>
      </c>
    </row>
    <row r="56" spans="1:13" x14ac:dyDescent="0.25">
      <c r="A56" s="177">
        <v>411416</v>
      </c>
      <c r="B56" s="178">
        <v>6009233586477</v>
      </c>
      <c r="C56" s="12">
        <v>6009233586477</v>
      </c>
      <c r="D56" t="s">
        <v>157</v>
      </c>
      <c r="E56" t="s">
        <v>158</v>
      </c>
      <c r="F56" s="14">
        <v>98</v>
      </c>
      <c r="G56">
        <v>112</v>
      </c>
      <c r="H56">
        <v>30</v>
      </c>
      <c r="I56">
        <v>48</v>
      </c>
      <c r="J56" t="str">
        <f>VLOOKUP(A56,[1]Snacks!$B:$F,5,0)</f>
        <v>48 / Outer Case</v>
      </c>
      <c r="K56">
        <f>VLOOKUP(A56,[1]Snacks!$B:$G,6,0)</f>
        <v>6</v>
      </c>
      <c r="L56">
        <f>VLOOKUP(A56,[1]Snacks!$B:$H,7,0)</f>
        <v>5</v>
      </c>
      <c r="M56">
        <f>VLOOKUP(A56,[1]Snacks!$B:$I,8,0)</f>
        <v>30</v>
      </c>
    </row>
    <row r="57" spans="1:13" x14ac:dyDescent="0.25">
      <c r="A57" s="177">
        <v>410615</v>
      </c>
      <c r="B57" s="178">
        <v>6009233586453</v>
      </c>
      <c r="C57" s="12" t="s">
        <v>160</v>
      </c>
      <c r="D57" t="s">
        <v>161</v>
      </c>
      <c r="E57" t="s">
        <v>162</v>
      </c>
      <c r="F57" s="14">
        <v>98</v>
      </c>
      <c r="G57">
        <v>112</v>
      </c>
      <c r="H57">
        <v>20</v>
      </c>
      <c r="I57">
        <v>20</v>
      </c>
      <c r="J57" t="str">
        <f>VLOOKUP(A57,[1]Snacks!$B:$F,5,0)</f>
        <v>20 / Outer Case</v>
      </c>
      <c r="K57">
        <f>VLOOKUP(A57,[1]Snacks!$B:$G,6,0)</f>
        <v>5</v>
      </c>
      <c r="L57">
        <f>VLOOKUP(A57,[1]Snacks!$B:$H,7,0)</f>
        <v>4</v>
      </c>
      <c r="M57">
        <f>VLOOKUP(A57,[1]Snacks!$B:$I,8,0)</f>
        <v>20</v>
      </c>
    </row>
    <row r="58" spans="1:13" x14ac:dyDescent="0.25">
      <c r="A58" s="177">
        <v>411418</v>
      </c>
      <c r="B58" s="178">
        <v>6009233586491</v>
      </c>
      <c r="C58" s="12">
        <v>6009233586491</v>
      </c>
      <c r="D58" t="s">
        <v>164</v>
      </c>
      <c r="E58" t="s">
        <v>158</v>
      </c>
      <c r="F58" s="14">
        <v>98</v>
      </c>
      <c r="G58">
        <v>112</v>
      </c>
      <c r="H58">
        <v>30</v>
      </c>
      <c r="I58">
        <v>48</v>
      </c>
      <c r="J58" t="str">
        <f>VLOOKUP(A58,[1]Snacks!$B:$F,5,0)</f>
        <v>48 / Outer Case</v>
      </c>
      <c r="K58">
        <f>VLOOKUP(A58,[1]Snacks!$B:$G,6,0)</f>
        <v>6</v>
      </c>
      <c r="L58">
        <f>VLOOKUP(A58,[1]Snacks!$B:$H,7,0)</f>
        <v>5</v>
      </c>
      <c r="M58">
        <f>VLOOKUP(A58,[1]Snacks!$B:$I,8,0)</f>
        <v>30</v>
      </c>
    </row>
    <row r="59" spans="1:13" x14ac:dyDescent="0.25">
      <c r="A59" s="177">
        <v>410616</v>
      </c>
      <c r="B59" s="178">
        <v>6009233586460</v>
      </c>
      <c r="C59" s="12" t="s">
        <v>166</v>
      </c>
      <c r="D59" t="s">
        <v>167</v>
      </c>
      <c r="E59" t="s">
        <v>162</v>
      </c>
      <c r="F59" s="14">
        <v>98</v>
      </c>
      <c r="G59">
        <v>112</v>
      </c>
      <c r="H59">
        <v>20</v>
      </c>
      <c r="I59">
        <v>20</v>
      </c>
      <c r="J59" t="str">
        <f>VLOOKUP(A59,[1]Snacks!$B:$F,5,0)</f>
        <v>20 / Outer Case</v>
      </c>
      <c r="K59">
        <f>VLOOKUP(A59,[1]Snacks!$B:$G,6,0)</f>
        <v>5</v>
      </c>
      <c r="L59">
        <f>VLOOKUP(A59,[1]Snacks!$B:$H,7,0)</f>
        <v>4</v>
      </c>
      <c r="M59">
        <f>VLOOKUP(A59,[1]Snacks!$B:$I,8,0)</f>
        <v>20</v>
      </c>
    </row>
    <row r="60" spans="1:13" x14ac:dyDescent="0.25">
      <c r="A60" s="177">
        <v>411417</v>
      </c>
      <c r="B60" s="178">
        <v>6009233586484</v>
      </c>
      <c r="C60" s="12">
        <v>6009233586484</v>
      </c>
      <c r="D60" t="s">
        <v>169</v>
      </c>
      <c r="E60" t="s">
        <v>158</v>
      </c>
      <c r="F60" s="14">
        <v>98</v>
      </c>
      <c r="G60">
        <v>112</v>
      </c>
      <c r="H60">
        <v>30</v>
      </c>
      <c r="I60">
        <v>48</v>
      </c>
      <c r="J60" t="str">
        <f>VLOOKUP(A60,[1]Snacks!$B:$F,5,0)</f>
        <v>48 / Outer Case</v>
      </c>
      <c r="K60">
        <f>VLOOKUP(A60,[1]Snacks!$B:$G,6,0)</f>
        <v>6</v>
      </c>
      <c r="L60">
        <f>VLOOKUP(A60,[1]Snacks!$B:$H,7,0)</f>
        <v>5</v>
      </c>
      <c r="M60">
        <f>VLOOKUP(A60,[1]Snacks!$B:$I,8,0)</f>
        <v>30</v>
      </c>
    </row>
    <row r="61" spans="1:13" x14ac:dyDescent="0.25">
      <c r="A61" s="177">
        <v>412005</v>
      </c>
      <c r="B61" s="178">
        <v>6009195223038</v>
      </c>
      <c r="C61" s="12">
        <v>6009195223038</v>
      </c>
      <c r="D61" t="s">
        <v>171</v>
      </c>
      <c r="E61" t="s">
        <v>172</v>
      </c>
      <c r="F61" s="14">
        <v>114</v>
      </c>
      <c r="G61">
        <v>155</v>
      </c>
      <c r="H61">
        <v>48</v>
      </c>
      <c r="I61">
        <v>14</v>
      </c>
      <c r="J61" t="str">
        <f>VLOOKUP(A61,[1]Snacks!$B:$F,5,0)</f>
        <v>14 / Outer Case</v>
      </c>
      <c r="K61">
        <f>VLOOKUP(A61,[1]Snacks!$B:$G,6,0)</f>
        <v>16</v>
      </c>
      <c r="L61">
        <f>VLOOKUP(A61,[1]Snacks!$B:$H,7,0)</f>
        <v>3</v>
      </c>
      <c r="M61">
        <f>VLOOKUP(A61,[1]Snacks!$B:$I,8,0)</f>
        <v>48</v>
      </c>
    </row>
    <row r="62" spans="1:13" x14ac:dyDescent="0.25">
      <c r="A62" s="177">
        <v>412003</v>
      </c>
      <c r="B62" s="178">
        <v>6009189862717</v>
      </c>
      <c r="C62" s="12">
        <v>6009189862717</v>
      </c>
      <c r="D62" t="s">
        <v>174</v>
      </c>
      <c r="E62" t="s">
        <v>175</v>
      </c>
      <c r="F62" s="14">
        <v>127</v>
      </c>
      <c r="G62">
        <v>141</v>
      </c>
      <c r="H62">
        <v>32</v>
      </c>
      <c r="I62">
        <v>14</v>
      </c>
      <c r="J62" t="str">
        <f>VLOOKUP(A62,[1]Snacks!$B:$F,5,0)</f>
        <v>14 / Outer Case</v>
      </c>
      <c r="K62">
        <f>VLOOKUP(A62,[1]Snacks!$B:$G,6,0)</f>
        <v>8</v>
      </c>
      <c r="L62">
        <f>VLOOKUP(A62,[1]Snacks!$B:$H,7,0)</f>
        <v>4</v>
      </c>
      <c r="M62">
        <f>VLOOKUP(A62,[1]Snacks!$B:$I,8,0)</f>
        <v>32</v>
      </c>
    </row>
    <row r="63" spans="1:13" x14ac:dyDescent="0.25">
      <c r="A63" s="177">
        <v>412004</v>
      </c>
      <c r="B63" s="178">
        <v>6009189862700</v>
      </c>
      <c r="C63" s="12" t="s">
        <v>177</v>
      </c>
      <c r="D63" t="s">
        <v>178</v>
      </c>
      <c r="E63" t="s">
        <v>175</v>
      </c>
      <c r="F63" s="14">
        <v>127</v>
      </c>
      <c r="G63">
        <v>141</v>
      </c>
      <c r="H63">
        <v>32</v>
      </c>
      <c r="I63">
        <v>14</v>
      </c>
      <c r="J63" t="str">
        <f>VLOOKUP(A63,[1]Snacks!$B:$F,5,0)</f>
        <v>14 / Outer Case</v>
      </c>
      <c r="K63">
        <f>VLOOKUP(A63,[1]Snacks!$B:$G,6,0)</f>
        <v>8</v>
      </c>
      <c r="L63">
        <f>VLOOKUP(A63,[1]Snacks!$B:$H,7,0)</f>
        <v>4</v>
      </c>
      <c r="M63">
        <f>VLOOKUP(A63,[1]Snacks!$B:$I,8,0)</f>
        <v>32</v>
      </c>
    </row>
    <row r="64" spans="1:13" x14ac:dyDescent="0.25">
      <c r="A64" s="177">
        <v>412002</v>
      </c>
      <c r="B64" s="178">
        <v>6009189862694</v>
      </c>
      <c r="C64" s="12">
        <v>6009189862694</v>
      </c>
      <c r="D64" t="s">
        <v>180</v>
      </c>
      <c r="E64" t="s">
        <v>175</v>
      </c>
      <c r="F64" s="14">
        <v>127</v>
      </c>
      <c r="G64">
        <v>141</v>
      </c>
      <c r="H64">
        <v>32</v>
      </c>
      <c r="I64">
        <v>14</v>
      </c>
      <c r="J64" t="str">
        <f>VLOOKUP(A64,[1]Snacks!$B:$F,5,0)</f>
        <v>14 / Outer Case</v>
      </c>
      <c r="K64">
        <f>VLOOKUP(A64,[1]Snacks!$B:$G,6,0)</f>
        <v>8</v>
      </c>
      <c r="L64">
        <f>VLOOKUP(A64,[1]Snacks!$B:$H,7,0)</f>
        <v>4</v>
      </c>
      <c r="M64">
        <f>VLOOKUP(A64,[1]Snacks!$B:$I,8,0)</f>
        <v>32</v>
      </c>
    </row>
    <row r="65" spans="1:13" x14ac:dyDescent="0.25">
      <c r="A65" s="177">
        <v>412007</v>
      </c>
      <c r="B65" s="178">
        <v>6009195499853</v>
      </c>
      <c r="C65" s="12" t="s">
        <v>182</v>
      </c>
      <c r="D65" t="s">
        <v>183</v>
      </c>
      <c r="E65" t="s">
        <v>184</v>
      </c>
      <c r="F65" s="14">
        <v>127</v>
      </c>
      <c r="G65">
        <v>141</v>
      </c>
      <c r="H65">
        <v>48</v>
      </c>
      <c r="I65">
        <v>24</v>
      </c>
      <c r="J65" t="str">
        <f>VLOOKUP(A65,[1]Snacks!$B:$F,5,0)</f>
        <v>24 / Outer Case</v>
      </c>
      <c r="K65">
        <f>VLOOKUP(A65,[1]Snacks!$B:$G,6,0)</f>
        <v>12</v>
      </c>
      <c r="L65">
        <f>VLOOKUP(A65,[1]Snacks!$B:$H,7,0)</f>
        <v>4</v>
      </c>
      <c r="M65">
        <f>VLOOKUP(A65,[1]Snacks!$B:$I,8,0)</f>
        <v>48</v>
      </c>
    </row>
    <row r="66" spans="1:13" x14ac:dyDescent="0.25">
      <c r="A66" s="177">
        <v>412001</v>
      </c>
      <c r="B66" s="178">
        <v>6009189862687</v>
      </c>
      <c r="C66" s="12" t="s">
        <v>186</v>
      </c>
      <c r="D66" t="s">
        <v>187</v>
      </c>
      <c r="E66" t="s">
        <v>175</v>
      </c>
      <c r="F66" s="14">
        <v>127</v>
      </c>
      <c r="G66">
        <v>141</v>
      </c>
      <c r="H66">
        <v>32</v>
      </c>
      <c r="I66">
        <v>14</v>
      </c>
      <c r="J66" t="str">
        <f>VLOOKUP(A66,[1]Snacks!$B:$F,5,0)</f>
        <v>14 / Outer Case</v>
      </c>
      <c r="K66">
        <f>VLOOKUP(A66,[1]Snacks!$B:$G,6,0)</f>
        <v>8</v>
      </c>
      <c r="L66">
        <f>VLOOKUP(A66,[1]Snacks!$B:$H,7,0)</f>
        <v>4</v>
      </c>
      <c r="M66">
        <f>VLOOKUP(A66,[1]Snacks!$B:$I,8,0)</f>
        <v>32</v>
      </c>
    </row>
    <row r="67" spans="1:13" x14ac:dyDescent="0.25">
      <c r="A67" s="177">
        <v>412006</v>
      </c>
      <c r="B67" s="178">
        <v>6009195499846</v>
      </c>
      <c r="C67" s="12">
        <v>6009195499846</v>
      </c>
      <c r="D67" t="s">
        <v>189</v>
      </c>
      <c r="E67" t="s">
        <v>184</v>
      </c>
      <c r="F67" s="14">
        <v>127</v>
      </c>
      <c r="G67">
        <v>141</v>
      </c>
      <c r="H67">
        <v>48</v>
      </c>
      <c r="I67">
        <v>24</v>
      </c>
      <c r="J67" t="str">
        <f>VLOOKUP(A67,[1]Snacks!$B:$F,5,0)</f>
        <v>24 / Outer Case</v>
      </c>
      <c r="K67">
        <f>VLOOKUP(A67,[1]Snacks!$B:$G,6,0)</f>
        <v>12</v>
      </c>
      <c r="L67">
        <f>VLOOKUP(A67,[1]Snacks!$B:$H,7,0)</f>
        <v>4</v>
      </c>
      <c r="M67">
        <f>VLOOKUP(A67,[1]Snacks!$B:$I,8,0)</f>
        <v>48</v>
      </c>
    </row>
    <row r="68" spans="1:13" x14ac:dyDescent="0.25">
      <c r="A68" s="177">
        <v>412009</v>
      </c>
      <c r="B68" s="178">
        <v>6009223464297</v>
      </c>
      <c r="C68" s="12" t="s">
        <v>191</v>
      </c>
      <c r="D68" t="s">
        <v>192</v>
      </c>
      <c r="E68" t="s">
        <v>175</v>
      </c>
      <c r="F68" s="14">
        <v>127</v>
      </c>
      <c r="G68">
        <v>141</v>
      </c>
      <c r="H68">
        <v>32</v>
      </c>
      <c r="I68">
        <v>14</v>
      </c>
      <c r="J68" t="str">
        <f>VLOOKUP(A68,[1]Snacks!$B:$F,5,0)</f>
        <v>14 / Outer Case</v>
      </c>
      <c r="K68">
        <f>VLOOKUP(A68,[1]Snacks!$B:$G,6,0)</f>
        <v>8</v>
      </c>
      <c r="L68">
        <f>VLOOKUP(A68,[1]Snacks!$B:$H,7,0)</f>
        <v>4</v>
      </c>
      <c r="M68">
        <f>VLOOKUP(A68,[1]Snacks!$B:$I,8,0)</f>
        <v>32</v>
      </c>
    </row>
    <row r="69" spans="1:13" x14ac:dyDescent="0.25">
      <c r="A69" s="177">
        <v>412010</v>
      </c>
      <c r="B69" s="178">
        <v>6009223464303</v>
      </c>
      <c r="C69" s="12" t="s">
        <v>194</v>
      </c>
      <c r="D69" t="s">
        <v>195</v>
      </c>
      <c r="E69" t="s">
        <v>175</v>
      </c>
      <c r="F69" s="14">
        <v>127</v>
      </c>
      <c r="G69">
        <v>141</v>
      </c>
      <c r="H69">
        <v>32</v>
      </c>
      <c r="I69">
        <v>14</v>
      </c>
      <c r="J69" t="str">
        <f>VLOOKUP(A69,[1]Snacks!$B:$F,5,0)</f>
        <v>14 / Outer Case</v>
      </c>
      <c r="K69">
        <f>VLOOKUP(A69,[1]Snacks!$B:$G,6,0)</f>
        <v>8</v>
      </c>
      <c r="L69">
        <f>VLOOKUP(A69,[1]Snacks!$B:$H,7,0)</f>
        <v>4</v>
      </c>
      <c r="M69">
        <f>VLOOKUP(A69,[1]Snacks!$B:$I,8,0)</f>
        <v>32</v>
      </c>
    </row>
    <row r="70" spans="1:13" x14ac:dyDescent="0.25">
      <c r="A70" s="177">
        <v>412011</v>
      </c>
      <c r="B70" s="178">
        <v>6009223464327</v>
      </c>
      <c r="C70" s="12">
        <v>6009223464327</v>
      </c>
      <c r="D70" t="s">
        <v>197</v>
      </c>
      <c r="E70" t="s">
        <v>175</v>
      </c>
      <c r="F70" s="14">
        <v>127</v>
      </c>
      <c r="G70">
        <v>141</v>
      </c>
      <c r="H70">
        <v>32</v>
      </c>
      <c r="I70">
        <v>14</v>
      </c>
      <c r="J70" t="str">
        <f>VLOOKUP(A70,[1]Snacks!$B:$F,5,0)</f>
        <v>14 / Outer Case</v>
      </c>
      <c r="K70">
        <f>VLOOKUP(A70,[1]Snacks!$B:$G,6,0)</f>
        <v>8</v>
      </c>
      <c r="L70">
        <f>VLOOKUP(A70,[1]Snacks!$B:$H,7,0)</f>
        <v>4</v>
      </c>
      <c r="M70">
        <f>VLOOKUP(A70,[1]Snacks!$B:$I,8,0)</f>
        <v>32</v>
      </c>
    </row>
    <row r="71" spans="1:13" x14ac:dyDescent="0.25">
      <c r="A71" s="13" t="s">
        <v>198</v>
      </c>
      <c r="B71" s="178" t="s">
        <v>454</v>
      </c>
      <c r="C71" s="12">
        <v>6009701000269</v>
      </c>
      <c r="D71" t="s">
        <v>199</v>
      </c>
      <c r="E71" t="s">
        <v>175</v>
      </c>
      <c r="F71" s="14" t="s">
        <v>200</v>
      </c>
      <c r="G71">
        <v>210</v>
      </c>
      <c r="H71">
        <v>32</v>
      </c>
      <c r="I71">
        <v>14</v>
      </c>
      <c r="J71" t="str">
        <f>VLOOKUP(A71,[1]Snacks!$B:$F,5,0)</f>
        <v>14 / Outer Case</v>
      </c>
      <c r="K71">
        <f>VLOOKUP(A71,[1]Snacks!$B:$G,6,0)</f>
        <v>8</v>
      </c>
      <c r="L71">
        <f>VLOOKUP(A71,[1]Snacks!$B:$H,7,0)</f>
        <v>4</v>
      </c>
      <c r="M71">
        <f>VLOOKUP(A71,[1]Snacks!$B:$I,8,0)</f>
        <v>32</v>
      </c>
    </row>
    <row r="72" spans="1:13" x14ac:dyDescent="0.25">
      <c r="A72" s="13" t="s">
        <v>201</v>
      </c>
      <c r="B72" s="178" t="s">
        <v>455</v>
      </c>
      <c r="C72" s="12">
        <v>6009701000245</v>
      </c>
      <c r="D72" t="s">
        <v>202</v>
      </c>
      <c r="E72" t="s">
        <v>175</v>
      </c>
      <c r="F72" s="14" t="s">
        <v>200</v>
      </c>
      <c r="G72">
        <v>210</v>
      </c>
      <c r="H72">
        <v>32</v>
      </c>
      <c r="I72">
        <v>14</v>
      </c>
      <c r="J72" t="str">
        <f>VLOOKUP(A72,[1]Snacks!$B:$F,5,0)</f>
        <v>14 / Outer Case</v>
      </c>
      <c r="K72">
        <f>VLOOKUP(A72,[1]Snacks!$B:$G,6,0)</f>
        <v>8</v>
      </c>
      <c r="L72">
        <f>VLOOKUP(A72,[1]Snacks!$B:$H,7,0)</f>
        <v>4</v>
      </c>
      <c r="M72">
        <f>VLOOKUP(A72,[1]Snacks!$B:$I,8,0)</f>
        <v>32</v>
      </c>
    </row>
    <row r="73" spans="1:13" x14ac:dyDescent="0.25">
      <c r="A73" s="13" t="s">
        <v>203</v>
      </c>
      <c r="B73" s="178" t="s">
        <v>456</v>
      </c>
      <c r="C73" s="12">
        <v>6009701000252</v>
      </c>
      <c r="D73" t="s">
        <v>204</v>
      </c>
      <c r="E73" t="s">
        <v>175</v>
      </c>
      <c r="F73" s="14" t="s">
        <v>200</v>
      </c>
      <c r="G73">
        <v>210</v>
      </c>
      <c r="H73">
        <v>32</v>
      </c>
      <c r="I73">
        <v>14</v>
      </c>
      <c r="J73" t="str">
        <f>VLOOKUP(A73,[1]Snacks!$B:$F,5,0)</f>
        <v>14 / Outer Case</v>
      </c>
      <c r="K73">
        <f>VLOOKUP(A73,[1]Snacks!$B:$G,6,0)</f>
        <v>8</v>
      </c>
      <c r="L73">
        <f>VLOOKUP(A73,[1]Snacks!$B:$H,7,0)</f>
        <v>4</v>
      </c>
      <c r="M73">
        <f>VLOOKUP(A73,[1]Snacks!$B:$I,8,0)</f>
        <v>32</v>
      </c>
    </row>
    <row r="74" spans="1:13" x14ac:dyDescent="0.25">
      <c r="A74" s="13" t="s">
        <v>205</v>
      </c>
      <c r="B74" s="178" t="s">
        <v>457</v>
      </c>
      <c r="C74" s="12">
        <v>6005574002003</v>
      </c>
      <c r="D74" t="s">
        <v>206</v>
      </c>
      <c r="E74" t="s">
        <v>175</v>
      </c>
      <c r="F74" s="14" t="s">
        <v>200</v>
      </c>
      <c r="G74">
        <v>210</v>
      </c>
      <c r="H74">
        <v>32</v>
      </c>
      <c r="I74">
        <v>14</v>
      </c>
      <c r="J74" t="str">
        <f>VLOOKUP(A74,[1]Snacks!$B:$F,5,0)</f>
        <v>14 / Outer Case</v>
      </c>
      <c r="K74">
        <f>VLOOKUP(A74,[1]Snacks!$B:$G,6,0)</f>
        <v>8</v>
      </c>
      <c r="L74">
        <f>VLOOKUP(A74,[1]Snacks!$B:$H,7,0)</f>
        <v>4</v>
      </c>
      <c r="M74">
        <f>VLOOKUP(A74,[1]Snacks!$B:$I,8,0)</f>
        <v>32</v>
      </c>
    </row>
    <row r="75" spans="1:13" x14ac:dyDescent="0.25">
      <c r="A75" s="13" t="s">
        <v>207</v>
      </c>
      <c r="B75" s="178" t="s">
        <v>458</v>
      </c>
      <c r="C75" s="12">
        <v>6009701000283</v>
      </c>
      <c r="D75" t="s">
        <v>208</v>
      </c>
      <c r="E75" t="s">
        <v>172</v>
      </c>
      <c r="F75" s="14" t="s">
        <v>200</v>
      </c>
      <c r="G75">
        <v>180</v>
      </c>
      <c r="H75">
        <v>48</v>
      </c>
      <c r="I75">
        <v>14</v>
      </c>
      <c r="J75" t="str">
        <f>VLOOKUP(A75,[1]Snacks!$B:$F,5,0)</f>
        <v>14 / Outer Case</v>
      </c>
      <c r="K75">
        <f>VLOOKUP(A75,[1]Snacks!$B:$G,6,0)</f>
        <v>12</v>
      </c>
      <c r="L75">
        <f>VLOOKUP(A75,[1]Snacks!$B:$H,7,0)</f>
        <v>4</v>
      </c>
      <c r="M75">
        <f>VLOOKUP(A75,[1]Snacks!$B:$I,8,0)</f>
        <v>48</v>
      </c>
    </row>
    <row r="76" spans="1:13" x14ac:dyDescent="0.25">
      <c r="A76" s="13" t="s">
        <v>209</v>
      </c>
      <c r="B76" s="178" t="s">
        <v>459</v>
      </c>
      <c r="C76" s="12">
        <v>6009701000023</v>
      </c>
      <c r="D76" t="s">
        <v>210</v>
      </c>
      <c r="E76" t="s">
        <v>211</v>
      </c>
      <c r="F76" s="14" t="s">
        <v>200</v>
      </c>
      <c r="G76">
        <v>180</v>
      </c>
      <c r="H76">
        <v>48</v>
      </c>
      <c r="I76">
        <v>20</v>
      </c>
      <c r="J76" t="str">
        <f>VLOOKUP(A76,[1]Snacks!$B:$F,5,0)</f>
        <v>20 / Outer Case</v>
      </c>
      <c r="K76">
        <f>VLOOKUP(A76,[1]Snacks!$B:$G,6,0)</f>
        <v>12</v>
      </c>
      <c r="L76">
        <f>VLOOKUP(A76,[1]Snacks!$B:$H,7,0)</f>
        <v>4</v>
      </c>
      <c r="M76">
        <f>VLOOKUP(A76,[1]Snacks!$B:$I,8,0)</f>
        <v>48</v>
      </c>
    </row>
    <row r="77" spans="1:13" x14ac:dyDescent="0.25">
      <c r="A77" s="13" t="s">
        <v>212</v>
      </c>
      <c r="B77" s="178" t="s">
        <v>460</v>
      </c>
      <c r="C77" s="12">
        <v>6005574000917</v>
      </c>
      <c r="D77" t="s">
        <v>213</v>
      </c>
      <c r="E77" t="s">
        <v>214</v>
      </c>
      <c r="F77" s="14" t="s">
        <v>200</v>
      </c>
      <c r="G77">
        <v>210</v>
      </c>
      <c r="H77">
        <v>32</v>
      </c>
      <c r="I77">
        <v>14</v>
      </c>
      <c r="J77" t="str">
        <f>VLOOKUP(A77,[1]Snacks!$B:$F,5,0)</f>
        <v>14 / Outer Case</v>
      </c>
      <c r="K77">
        <f>VLOOKUP(A77,[1]Snacks!$B:$G,6,0)</f>
        <v>8</v>
      </c>
      <c r="L77">
        <f>VLOOKUP(A77,[1]Snacks!$B:$H,7,0)</f>
        <v>4</v>
      </c>
      <c r="M77">
        <f>VLOOKUP(A77,[1]Snacks!$B:$I,8,0)</f>
        <v>32</v>
      </c>
    </row>
    <row r="78" spans="1:13" x14ac:dyDescent="0.25">
      <c r="A78" s="13" t="s">
        <v>215</v>
      </c>
      <c r="B78" s="178" t="s">
        <v>461</v>
      </c>
      <c r="C78" s="12" t="s">
        <v>216</v>
      </c>
      <c r="D78" t="s">
        <v>217</v>
      </c>
      <c r="E78" t="s">
        <v>218</v>
      </c>
      <c r="F78" s="14" t="s">
        <v>200</v>
      </c>
      <c r="G78">
        <v>153</v>
      </c>
      <c r="H78">
        <v>20</v>
      </c>
      <c r="I78">
        <v>26</v>
      </c>
      <c r="J78" t="str">
        <f>VLOOKUP(A78,[1]Snacks!$B:$F,5,0)</f>
        <v>26 / Outer Case</v>
      </c>
      <c r="K78">
        <f>VLOOKUP(A78,[1]Snacks!$B:$G,6,0)</f>
        <v>5</v>
      </c>
      <c r="L78">
        <f>VLOOKUP(A78,[1]Snacks!$B:$H,7,0)</f>
        <v>4</v>
      </c>
      <c r="M78">
        <f>VLOOKUP(A78,[1]Snacks!$B:$I,8,0)</f>
        <v>20</v>
      </c>
    </row>
    <row r="79" spans="1:13" x14ac:dyDescent="0.25">
      <c r="A79" s="13" t="s">
        <v>219</v>
      </c>
      <c r="B79" s="178" t="s">
        <v>462</v>
      </c>
      <c r="C79" s="12" t="s">
        <v>220</v>
      </c>
      <c r="D79" t="s">
        <v>221</v>
      </c>
      <c r="E79" t="s">
        <v>218</v>
      </c>
      <c r="F79" s="14" t="s">
        <v>200</v>
      </c>
      <c r="G79">
        <v>153</v>
      </c>
      <c r="H79">
        <v>20</v>
      </c>
      <c r="I79">
        <v>26</v>
      </c>
      <c r="J79" t="str">
        <f>VLOOKUP(A79,[1]Snacks!$B:$F,5,0)</f>
        <v>26 / Outer Case</v>
      </c>
      <c r="K79">
        <f>VLOOKUP(A79,[1]Snacks!$B:$G,6,0)</f>
        <v>5</v>
      </c>
      <c r="L79">
        <f>VLOOKUP(A79,[1]Snacks!$B:$H,7,0)</f>
        <v>4</v>
      </c>
      <c r="M79">
        <f>VLOOKUP(A79,[1]Snacks!$B:$I,8,0)</f>
        <v>20</v>
      </c>
    </row>
    <row r="80" spans="1:13" x14ac:dyDescent="0.25">
      <c r="A80" s="13" t="s">
        <v>222</v>
      </c>
      <c r="B80" s="178" t="s">
        <v>463</v>
      </c>
      <c r="C80" s="12" t="s">
        <v>223</v>
      </c>
      <c r="D80" t="s">
        <v>224</v>
      </c>
      <c r="E80" t="s">
        <v>218</v>
      </c>
      <c r="F80" s="14" t="s">
        <v>200</v>
      </c>
      <c r="G80">
        <v>153</v>
      </c>
      <c r="H80">
        <v>20</v>
      </c>
      <c r="I80">
        <v>26</v>
      </c>
      <c r="J80" t="str">
        <f>VLOOKUP(A80,[1]Snacks!$B:$F,5,0)</f>
        <v>26 / Outer Case</v>
      </c>
      <c r="K80">
        <f>VLOOKUP(A80,[1]Snacks!$B:$G,6,0)</f>
        <v>5</v>
      </c>
      <c r="L80">
        <f>VLOOKUP(A80,[1]Snacks!$B:$H,7,0)</f>
        <v>4</v>
      </c>
      <c r="M80">
        <f>VLOOKUP(A80,[1]Snacks!$B:$I,8,0)</f>
        <v>20</v>
      </c>
    </row>
    <row r="81" spans="1:13" x14ac:dyDescent="0.25">
      <c r="A81" s="13" t="s">
        <v>225</v>
      </c>
      <c r="B81" s="178" t="s">
        <v>464</v>
      </c>
      <c r="C81" s="12" t="s">
        <v>226</v>
      </c>
      <c r="D81" t="s">
        <v>227</v>
      </c>
      <c r="E81" t="s">
        <v>218</v>
      </c>
      <c r="F81" s="14" t="s">
        <v>200</v>
      </c>
      <c r="G81">
        <v>122</v>
      </c>
      <c r="H81">
        <v>20</v>
      </c>
      <c r="I81">
        <v>26</v>
      </c>
      <c r="J81" t="str">
        <f>VLOOKUP(A81,[1]Snacks!$B:$F,5,0)</f>
        <v>26 / Outer Case</v>
      </c>
      <c r="K81">
        <f>VLOOKUP(A81,[1]Snacks!$B:$G,6,0)</f>
        <v>5</v>
      </c>
      <c r="L81">
        <f>VLOOKUP(A81,[1]Snacks!$B:$H,7,0)</f>
        <v>4</v>
      </c>
      <c r="M81">
        <f>VLOOKUP(A81,[1]Snacks!$B:$I,8,0)</f>
        <v>20</v>
      </c>
    </row>
    <row r="82" spans="1:13" x14ac:dyDescent="0.25">
      <c r="A82" s="13" t="s">
        <v>228</v>
      </c>
      <c r="B82" s="178" t="s">
        <v>465</v>
      </c>
      <c r="C82" s="12">
        <v>6005574000573</v>
      </c>
      <c r="D82" t="s">
        <v>229</v>
      </c>
      <c r="E82" t="s">
        <v>218</v>
      </c>
      <c r="F82" s="14" t="s">
        <v>200</v>
      </c>
      <c r="G82">
        <v>153</v>
      </c>
      <c r="H82">
        <v>20</v>
      </c>
      <c r="I82">
        <v>26</v>
      </c>
      <c r="J82" t="str">
        <f>VLOOKUP(A82,[1]Snacks!$B:$F,5,0)</f>
        <v>26 / Outer Case</v>
      </c>
      <c r="K82">
        <f>VLOOKUP(A82,[1]Snacks!$B:$G,6,0)</f>
        <v>5</v>
      </c>
      <c r="L82">
        <f>VLOOKUP(A82,[1]Snacks!$B:$H,7,0)</f>
        <v>4</v>
      </c>
      <c r="M82">
        <f>VLOOKUP(A82,[1]Snacks!$B:$I,8,0)</f>
        <v>20</v>
      </c>
    </row>
    <row r="83" spans="1:13" x14ac:dyDescent="0.25">
      <c r="A83" s="13" t="s">
        <v>230</v>
      </c>
      <c r="B83" s="178" t="s">
        <v>466</v>
      </c>
      <c r="C83" s="12">
        <v>6005574002867</v>
      </c>
      <c r="D83" t="s">
        <v>231</v>
      </c>
      <c r="E83" t="s">
        <v>232</v>
      </c>
      <c r="F83" s="14" t="s">
        <v>200</v>
      </c>
      <c r="G83">
        <v>153</v>
      </c>
      <c r="H83">
        <v>30</v>
      </c>
      <c r="I83">
        <v>48</v>
      </c>
      <c r="J83" t="str">
        <f>VLOOKUP(A83,[1]Snacks!$B:$F,5,0)</f>
        <v>48 / Outer Case</v>
      </c>
      <c r="K83">
        <f>VLOOKUP(A83,[1]Snacks!$B:$G,6,0)</f>
        <v>6</v>
      </c>
      <c r="L83">
        <f>VLOOKUP(A83,[1]Snacks!$B:$H,7,0)</f>
        <v>5</v>
      </c>
      <c r="M83">
        <f>VLOOKUP(A83,[1]Snacks!$B:$I,8,0)</f>
        <v>30</v>
      </c>
    </row>
    <row r="84" spans="1:13" x14ac:dyDescent="0.25">
      <c r="A84" s="13" t="s">
        <v>233</v>
      </c>
      <c r="B84" s="178" t="s">
        <v>467</v>
      </c>
      <c r="C84" s="12">
        <v>6005574002843</v>
      </c>
      <c r="D84" t="s">
        <v>234</v>
      </c>
      <c r="E84" t="s">
        <v>232</v>
      </c>
      <c r="F84" s="14" t="s">
        <v>200</v>
      </c>
      <c r="G84">
        <v>153</v>
      </c>
      <c r="H84">
        <v>30</v>
      </c>
      <c r="I84">
        <v>48</v>
      </c>
      <c r="J84" t="str">
        <f>VLOOKUP(A84,[1]Snacks!$B:$F,5,0)</f>
        <v>48 / Outer Case</v>
      </c>
      <c r="K84">
        <f>VLOOKUP(A84,[1]Snacks!$B:$G,6,0)</f>
        <v>6</v>
      </c>
      <c r="L84">
        <f>VLOOKUP(A84,[1]Snacks!$B:$H,7,0)</f>
        <v>5</v>
      </c>
      <c r="M84">
        <f>VLOOKUP(A84,[1]Snacks!$B:$I,8,0)</f>
        <v>30</v>
      </c>
    </row>
    <row r="85" spans="1:13" x14ac:dyDescent="0.25">
      <c r="A85" s="13" t="s">
        <v>235</v>
      </c>
      <c r="B85" s="178" t="s">
        <v>468</v>
      </c>
      <c r="C85" s="12">
        <v>6005574002881</v>
      </c>
      <c r="D85" t="s">
        <v>236</v>
      </c>
      <c r="E85" t="s">
        <v>232</v>
      </c>
      <c r="F85" s="14" t="s">
        <v>200</v>
      </c>
      <c r="G85">
        <v>122</v>
      </c>
      <c r="H85">
        <v>30</v>
      </c>
      <c r="I85">
        <v>48</v>
      </c>
      <c r="J85" t="str">
        <f>VLOOKUP(A85,[1]Snacks!$B:$F,5,0)</f>
        <v>48 / Outer Case</v>
      </c>
      <c r="K85">
        <f>VLOOKUP(A85,[1]Snacks!$B:$G,6,0)</f>
        <v>6</v>
      </c>
      <c r="L85">
        <f>VLOOKUP(A85,[1]Snacks!$B:$H,7,0)</f>
        <v>5</v>
      </c>
      <c r="M85">
        <f>VLOOKUP(A85,[1]Snacks!$B:$I,8,0)</f>
        <v>30</v>
      </c>
    </row>
    <row r="86" spans="1:13" x14ac:dyDescent="0.25">
      <c r="A86" s="13" t="s">
        <v>237</v>
      </c>
      <c r="B86" s="178" t="s">
        <v>469</v>
      </c>
      <c r="C86" s="12">
        <v>6005574002850</v>
      </c>
      <c r="D86" t="s">
        <v>238</v>
      </c>
      <c r="E86" t="s">
        <v>218</v>
      </c>
      <c r="F86" s="14" t="s">
        <v>200</v>
      </c>
      <c r="G86">
        <v>153</v>
      </c>
      <c r="H86">
        <v>20</v>
      </c>
      <c r="I86">
        <v>26</v>
      </c>
      <c r="J86" t="str">
        <f>VLOOKUP(A86,[1]Snacks!$B:$F,5,0)</f>
        <v>26 / Outer Case</v>
      </c>
      <c r="K86">
        <f>VLOOKUP(A86,[1]Snacks!$B:$G,6,0)</f>
        <v>5</v>
      </c>
      <c r="L86">
        <f>VLOOKUP(A86,[1]Snacks!$B:$H,7,0)</f>
        <v>4</v>
      </c>
      <c r="M86">
        <f>VLOOKUP(A86,[1]Snacks!$B:$I,8,0)</f>
        <v>20</v>
      </c>
    </row>
    <row r="87" spans="1:13" x14ac:dyDescent="0.25">
      <c r="A87" s="13" t="s">
        <v>239</v>
      </c>
      <c r="B87" s="178" t="s">
        <v>470</v>
      </c>
      <c r="C87" s="12">
        <v>6005574002836</v>
      </c>
      <c r="D87" t="s">
        <v>240</v>
      </c>
      <c r="E87" t="s">
        <v>218</v>
      </c>
      <c r="F87" s="14" t="s">
        <v>200</v>
      </c>
      <c r="G87">
        <v>153</v>
      </c>
      <c r="H87">
        <v>20</v>
      </c>
      <c r="I87">
        <v>26</v>
      </c>
      <c r="J87" t="str">
        <f>VLOOKUP(A87,[1]Snacks!$B:$F,5,0)</f>
        <v>26 / Outer Case</v>
      </c>
      <c r="K87">
        <f>VLOOKUP(A87,[1]Snacks!$B:$G,6,0)</f>
        <v>5</v>
      </c>
      <c r="L87">
        <f>VLOOKUP(A87,[1]Snacks!$B:$H,7,0)</f>
        <v>4</v>
      </c>
      <c r="M87">
        <f>VLOOKUP(A87,[1]Snacks!$B:$I,8,0)</f>
        <v>20</v>
      </c>
    </row>
    <row r="88" spans="1:13" x14ac:dyDescent="0.25">
      <c r="A88" s="13" t="s">
        <v>241</v>
      </c>
      <c r="B88" s="178" t="s">
        <v>471</v>
      </c>
      <c r="C88" s="12">
        <v>6005574002874</v>
      </c>
      <c r="D88" t="s">
        <v>242</v>
      </c>
      <c r="E88" t="s">
        <v>218</v>
      </c>
      <c r="F88" s="14" t="s">
        <v>200</v>
      </c>
      <c r="G88">
        <v>122</v>
      </c>
      <c r="H88">
        <v>20</v>
      </c>
      <c r="I88">
        <v>26</v>
      </c>
      <c r="J88" t="str">
        <f>VLOOKUP(A88,[1]Snacks!$B:$F,5,0)</f>
        <v>26 / Outer Case</v>
      </c>
      <c r="K88">
        <f>VLOOKUP(A88,[1]Snacks!$B:$G,6,0)</f>
        <v>5</v>
      </c>
      <c r="L88">
        <f>VLOOKUP(A88,[1]Snacks!$B:$H,7,0)</f>
        <v>4</v>
      </c>
      <c r="M88">
        <f>VLOOKUP(A88,[1]Snacks!$B:$I,8,0)</f>
        <v>20</v>
      </c>
    </row>
    <row r="89" spans="1:13" x14ac:dyDescent="0.25">
      <c r="A89" s="13" t="s">
        <v>243</v>
      </c>
      <c r="B89" s="178" t="s">
        <v>472</v>
      </c>
      <c r="C89" s="12">
        <v>6005574003468</v>
      </c>
      <c r="D89" t="s">
        <v>244</v>
      </c>
      <c r="E89" t="s">
        <v>232</v>
      </c>
      <c r="F89" s="14" t="s">
        <v>200</v>
      </c>
      <c r="G89">
        <v>122</v>
      </c>
      <c r="H89">
        <v>30</v>
      </c>
      <c r="I89">
        <v>48</v>
      </c>
      <c r="J89" t="str">
        <f>VLOOKUP(A89,[1]Snacks!$B:$F,5,0)</f>
        <v>48 / Outer Case</v>
      </c>
      <c r="K89">
        <f>VLOOKUP(A89,[1]Snacks!$B:$G,6,0)</f>
        <v>6</v>
      </c>
      <c r="L89">
        <f>VLOOKUP(A89,[1]Snacks!$B:$H,7,0)</f>
        <v>5</v>
      </c>
      <c r="M89">
        <f>VLOOKUP(A89,[1]Snacks!$B:$I,8,0)</f>
        <v>30</v>
      </c>
    </row>
    <row r="90" spans="1:13" x14ac:dyDescent="0.25">
      <c r="A90" s="13" t="s">
        <v>245</v>
      </c>
      <c r="B90" s="178" t="s">
        <v>473</v>
      </c>
      <c r="C90" s="12">
        <v>6005574003468</v>
      </c>
      <c r="D90" t="s">
        <v>246</v>
      </c>
      <c r="E90" t="s">
        <v>232</v>
      </c>
      <c r="F90" s="14" t="s">
        <v>200</v>
      </c>
      <c r="G90">
        <v>122</v>
      </c>
      <c r="H90">
        <v>81</v>
      </c>
      <c r="I90">
        <v>24</v>
      </c>
      <c r="J90" t="str">
        <f>VLOOKUP(A90,[1]Snacks!$B:$F,5,0)</f>
        <v>24 / Outer Case</v>
      </c>
      <c r="K90">
        <f>VLOOKUP(A90,[1]Snacks!$B:$G,6,0)</f>
        <v>9</v>
      </c>
      <c r="L90">
        <f>VLOOKUP(A90,[1]Snacks!$B:$H,7,0)</f>
        <v>9</v>
      </c>
      <c r="M90">
        <f>VLOOKUP(A90,[1]Snacks!$B:$I,8,0)</f>
        <v>81</v>
      </c>
    </row>
    <row r="91" spans="1:13" x14ac:dyDescent="0.25">
      <c r="A91" s="13" t="s">
        <v>247</v>
      </c>
      <c r="B91" s="178" t="s">
        <v>474</v>
      </c>
      <c r="C91" s="12">
        <v>6005574003451</v>
      </c>
      <c r="D91" t="s">
        <v>248</v>
      </c>
      <c r="E91" t="s">
        <v>218</v>
      </c>
      <c r="F91" s="14" t="s">
        <v>200</v>
      </c>
      <c r="G91">
        <v>122</v>
      </c>
      <c r="H91">
        <v>20</v>
      </c>
      <c r="I91">
        <v>26</v>
      </c>
      <c r="J91" t="str">
        <f>VLOOKUP(A91,[1]Snacks!$B:$F,5,0)</f>
        <v>26 / Outer Case</v>
      </c>
      <c r="K91">
        <f>VLOOKUP(A91,[1]Snacks!$B:$G,6,0)</f>
        <v>5</v>
      </c>
      <c r="L91">
        <f>VLOOKUP(A91,[1]Snacks!$B:$H,7,0)</f>
        <v>4</v>
      </c>
      <c r="M91">
        <f>VLOOKUP(A91,[1]Snacks!$B:$I,8,0)</f>
        <v>20</v>
      </c>
    </row>
    <row r="92" spans="1:13" x14ac:dyDescent="0.25">
      <c r="A92" s="13" t="s">
        <v>249</v>
      </c>
      <c r="B92" s="178" t="s">
        <v>475</v>
      </c>
      <c r="C92" s="12">
        <v>6005574003451</v>
      </c>
      <c r="D92" t="s">
        <v>250</v>
      </c>
      <c r="E92" t="s">
        <v>218</v>
      </c>
      <c r="F92" s="14" t="s">
        <v>200</v>
      </c>
      <c r="G92">
        <v>122</v>
      </c>
      <c r="H92">
        <v>81</v>
      </c>
      <c r="I92">
        <v>12</v>
      </c>
      <c r="J92" t="str">
        <f>VLOOKUP(A92,[1]Snacks!$B:$F,5,0)</f>
        <v>12 / Outer Case</v>
      </c>
      <c r="K92">
        <f>VLOOKUP(A92,[1]Snacks!$B:$G,6,0)</f>
        <v>9</v>
      </c>
      <c r="L92">
        <f>VLOOKUP(A92,[1]Snacks!$B:$H,7,0)</f>
        <v>9</v>
      </c>
      <c r="M92">
        <f>VLOOKUP(A92,[1]Snacks!$B:$I,8,0)</f>
        <v>81</v>
      </c>
    </row>
    <row r="93" spans="1:13" x14ac:dyDescent="0.25">
      <c r="A93" s="13" t="s">
        <v>251</v>
      </c>
      <c r="B93" s="178" t="s">
        <v>476</v>
      </c>
      <c r="C93" s="12" t="s">
        <v>252</v>
      </c>
      <c r="D93" t="s">
        <v>253</v>
      </c>
      <c r="E93" t="s">
        <v>218</v>
      </c>
      <c r="F93" s="14" t="s">
        <v>200</v>
      </c>
      <c r="G93">
        <v>183</v>
      </c>
      <c r="H93">
        <v>20</v>
      </c>
      <c r="I93">
        <v>26</v>
      </c>
      <c r="J93" t="str">
        <f>VLOOKUP(A93,[1]Snacks!$B:$F,5,0)</f>
        <v>26 / Outer Case</v>
      </c>
      <c r="K93">
        <f>VLOOKUP(A93,[1]Snacks!$B:$G,6,0)</f>
        <v>4</v>
      </c>
      <c r="L93">
        <f>VLOOKUP(A93,[1]Snacks!$B:$H,7,0)</f>
        <v>5</v>
      </c>
      <c r="M93">
        <f>VLOOKUP(A93,[1]Snacks!$B:$I,8,0)</f>
        <v>20</v>
      </c>
    </row>
    <row r="94" spans="1:13" x14ac:dyDescent="0.25">
      <c r="A94" s="13" t="s">
        <v>254</v>
      </c>
      <c r="B94" s="178" t="s">
        <v>477</v>
      </c>
      <c r="C94" s="12" t="s">
        <v>252</v>
      </c>
      <c r="D94" t="s">
        <v>255</v>
      </c>
      <c r="E94" t="s">
        <v>218</v>
      </c>
      <c r="F94" s="14" t="s">
        <v>200</v>
      </c>
      <c r="G94">
        <v>183</v>
      </c>
      <c r="H94">
        <v>81</v>
      </c>
      <c r="I94">
        <v>12</v>
      </c>
      <c r="J94" t="str">
        <f>VLOOKUP(A94,[1]Snacks!$B:$F,5,0)</f>
        <v>12 / Outer Case</v>
      </c>
      <c r="K94">
        <f>VLOOKUP(A94,[1]Snacks!$B:$G,6,0)</f>
        <v>9</v>
      </c>
      <c r="L94">
        <f>VLOOKUP(A94,[1]Snacks!$B:$H,7,0)</f>
        <v>9</v>
      </c>
      <c r="M94">
        <f>VLOOKUP(A94,[1]Snacks!$B:$I,8,0)</f>
        <v>81</v>
      </c>
    </row>
    <row r="95" spans="1:13" x14ac:dyDescent="0.25">
      <c r="A95" s="13" t="s">
        <v>256</v>
      </c>
      <c r="B95" s="178" t="s">
        <v>478</v>
      </c>
      <c r="C95" s="12">
        <v>6005574003499</v>
      </c>
      <c r="D95" t="s">
        <v>257</v>
      </c>
      <c r="E95" t="s">
        <v>218</v>
      </c>
      <c r="F95" s="14" t="s">
        <v>200</v>
      </c>
      <c r="G95">
        <v>183</v>
      </c>
      <c r="H95">
        <v>20</v>
      </c>
      <c r="I95">
        <v>26</v>
      </c>
      <c r="J95" t="str">
        <f>VLOOKUP(A95,[1]Snacks!$B:$F,5,0)</f>
        <v>26 / Outer Case</v>
      </c>
      <c r="K95">
        <f>VLOOKUP(A95,[1]Snacks!$B:$G,6,0)</f>
        <v>4</v>
      </c>
      <c r="L95">
        <f>VLOOKUP(A95,[1]Snacks!$B:$H,7,0)</f>
        <v>5</v>
      </c>
      <c r="M95">
        <f>VLOOKUP(A95,[1]Snacks!$B:$I,8,0)</f>
        <v>20</v>
      </c>
    </row>
    <row r="96" spans="1:13" x14ac:dyDescent="0.25">
      <c r="A96" s="13" t="s">
        <v>258</v>
      </c>
      <c r="B96" s="178" t="s">
        <v>479</v>
      </c>
      <c r="C96" s="12">
        <v>6005574003499</v>
      </c>
      <c r="D96" t="s">
        <v>259</v>
      </c>
      <c r="E96" t="s">
        <v>218</v>
      </c>
      <c r="F96" s="14" t="s">
        <v>200</v>
      </c>
      <c r="G96">
        <v>183</v>
      </c>
      <c r="H96">
        <v>81</v>
      </c>
      <c r="I96">
        <v>12</v>
      </c>
      <c r="J96" t="str">
        <f>VLOOKUP(A96,[1]Snacks!$B:$F,5,0)</f>
        <v>12 / Outer Case</v>
      </c>
      <c r="K96">
        <f>VLOOKUP(A96,[1]Snacks!$B:$G,6,0)</f>
        <v>9</v>
      </c>
      <c r="L96">
        <f>VLOOKUP(A96,[1]Snacks!$B:$H,7,0)</f>
        <v>9</v>
      </c>
      <c r="M96">
        <f>VLOOKUP(A96,[1]Snacks!$B:$I,8,0)</f>
        <v>81</v>
      </c>
    </row>
    <row r="97" spans="1:13" x14ac:dyDescent="0.25">
      <c r="A97" s="13" t="s">
        <v>260</v>
      </c>
      <c r="B97" s="178" t="s">
        <v>480</v>
      </c>
      <c r="C97" s="12">
        <v>6005574003482</v>
      </c>
      <c r="D97" t="s">
        <v>261</v>
      </c>
      <c r="E97" t="s">
        <v>218</v>
      </c>
      <c r="F97" s="14" t="s">
        <v>200</v>
      </c>
      <c r="G97">
        <v>183</v>
      </c>
      <c r="H97">
        <v>20</v>
      </c>
      <c r="I97">
        <v>26</v>
      </c>
      <c r="J97" t="str">
        <f>VLOOKUP(A97,[1]Snacks!$B:$F,5,0)</f>
        <v>26 / Outer Case</v>
      </c>
      <c r="K97">
        <f>VLOOKUP(A97,[1]Snacks!$B:$G,6,0)</f>
        <v>4</v>
      </c>
      <c r="L97">
        <f>VLOOKUP(A97,[1]Snacks!$B:$H,7,0)</f>
        <v>5</v>
      </c>
      <c r="M97">
        <f>VLOOKUP(A97,[1]Snacks!$B:$I,8,0)</f>
        <v>20</v>
      </c>
    </row>
    <row r="98" spans="1:13" x14ac:dyDescent="0.25">
      <c r="A98" s="13" t="s">
        <v>262</v>
      </c>
      <c r="B98" s="178" t="s">
        <v>481</v>
      </c>
      <c r="C98" s="12">
        <v>6005574003482</v>
      </c>
      <c r="D98" t="s">
        <v>263</v>
      </c>
      <c r="E98" t="s">
        <v>218</v>
      </c>
      <c r="F98" s="14" t="s">
        <v>200</v>
      </c>
      <c r="G98">
        <v>183</v>
      </c>
      <c r="H98">
        <v>81</v>
      </c>
      <c r="I98">
        <v>12</v>
      </c>
      <c r="J98" t="str">
        <f>VLOOKUP(A98,[1]Snacks!$B:$F,5,0)</f>
        <v>12 / Outer Case</v>
      </c>
      <c r="K98">
        <f>VLOOKUP(A98,[1]Snacks!$B:$G,6,0)</f>
        <v>9</v>
      </c>
      <c r="L98">
        <f>VLOOKUP(A98,[1]Snacks!$B:$H,7,0)</f>
        <v>9</v>
      </c>
      <c r="M98">
        <f>VLOOKUP(A98,[1]Snacks!$B:$I,8,0)</f>
        <v>81</v>
      </c>
    </row>
    <row r="99" spans="1:13" x14ac:dyDescent="0.25">
      <c r="A99" s="13" t="s">
        <v>264</v>
      </c>
      <c r="B99" s="178" t="s">
        <v>482</v>
      </c>
      <c r="C99" s="12">
        <v>6005574003475</v>
      </c>
      <c r="D99" t="s">
        <v>265</v>
      </c>
      <c r="E99" t="s">
        <v>218</v>
      </c>
      <c r="F99" s="14" t="s">
        <v>200</v>
      </c>
      <c r="G99">
        <v>183</v>
      </c>
      <c r="H99">
        <v>20</v>
      </c>
      <c r="I99">
        <v>26</v>
      </c>
      <c r="J99" t="str">
        <f>VLOOKUP(A99,[1]Snacks!$B:$F,5,0)</f>
        <v>26 / Outer Case</v>
      </c>
      <c r="K99">
        <f>VLOOKUP(A99,[1]Snacks!$B:$G,6,0)</f>
        <v>4</v>
      </c>
      <c r="L99">
        <f>VLOOKUP(A99,[1]Snacks!$B:$H,7,0)</f>
        <v>5</v>
      </c>
      <c r="M99">
        <f>VLOOKUP(A99,[1]Snacks!$B:$I,8,0)</f>
        <v>20</v>
      </c>
    </row>
    <row r="100" spans="1:13" x14ac:dyDescent="0.25">
      <c r="A100" s="13" t="s">
        <v>266</v>
      </c>
      <c r="B100" s="178" t="s">
        <v>483</v>
      </c>
      <c r="C100" s="12">
        <v>6005574003475</v>
      </c>
      <c r="D100" t="s">
        <v>267</v>
      </c>
      <c r="E100" t="s">
        <v>218</v>
      </c>
      <c r="F100" s="14" t="s">
        <v>200</v>
      </c>
      <c r="G100">
        <v>183</v>
      </c>
      <c r="H100">
        <v>81</v>
      </c>
      <c r="I100">
        <v>12</v>
      </c>
      <c r="J100" t="str">
        <f>VLOOKUP(A100,[1]Snacks!$B:$F,5,0)</f>
        <v>12 / Outer Case</v>
      </c>
      <c r="K100">
        <f>VLOOKUP(A100,[1]Snacks!$B:$G,6,0)</f>
        <v>9</v>
      </c>
      <c r="L100">
        <f>VLOOKUP(A100,[1]Snacks!$B:$H,7,0)</f>
        <v>9</v>
      </c>
      <c r="M100">
        <f>VLOOKUP(A100,[1]Snacks!$B:$I,8,0)</f>
        <v>81</v>
      </c>
    </row>
    <row r="101" spans="1:13" x14ac:dyDescent="0.25">
      <c r="A101" s="13" t="s">
        <v>268</v>
      </c>
      <c r="B101" s="178" t="s">
        <v>484</v>
      </c>
      <c r="C101" s="12" t="s">
        <v>269</v>
      </c>
      <c r="D101" t="s">
        <v>270</v>
      </c>
      <c r="E101" t="s">
        <v>218</v>
      </c>
      <c r="F101" s="14" t="s">
        <v>200</v>
      </c>
      <c r="G101">
        <v>126</v>
      </c>
      <c r="H101">
        <v>54</v>
      </c>
      <c r="I101">
        <v>20</v>
      </c>
      <c r="J101" t="str">
        <f>VLOOKUP(A101,[1]Snacks!$B:$F,5,0)</f>
        <v>26 / Outer Case</v>
      </c>
      <c r="K101">
        <f>VLOOKUP(A101,[1]Snacks!$B:$G,6,0)</f>
        <v>6</v>
      </c>
      <c r="L101">
        <f>VLOOKUP(A101,[1]Snacks!$B:$H,7,0)</f>
        <v>9</v>
      </c>
      <c r="M101">
        <f>VLOOKUP(A101,[1]Snacks!$B:$I,8,0)</f>
        <v>54</v>
      </c>
    </row>
    <row r="102" spans="1:13" x14ac:dyDescent="0.25">
      <c r="A102" s="13" t="s">
        <v>271</v>
      </c>
      <c r="B102" s="178" t="s">
        <v>485</v>
      </c>
      <c r="C102" s="12" t="s">
        <v>272</v>
      </c>
      <c r="D102" t="s">
        <v>273</v>
      </c>
      <c r="E102" t="s">
        <v>158</v>
      </c>
      <c r="F102" s="14" t="s">
        <v>200</v>
      </c>
      <c r="G102">
        <v>126</v>
      </c>
      <c r="H102">
        <v>56</v>
      </c>
      <c r="I102">
        <v>48</v>
      </c>
      <c r="J102" t="str">
        <f>VLOOKUP(A102,[1]Snacks!$B:$F,5,0)</f>
        <v>48 / Outer Case</v>
      </c>
      <c r="K102">
        <f>VLOOKUP(A102,[1]Snacks!$B:$G,6,0)</f>
        <v>8</v>
      </c>
      <c r="L102">
        <f>VLOOKUP(A102,[1]Snacks!$B:$H,7,0)</f>
        <v>7</v>
      </c>
      <c r="M102">
        <f>VLOOKUP(A102,[1]Snacks!$B:$I,8,0)</f>
        <v>56</v>
      </c>
    </row>
    <row r="103" spans="1:13" x14ac:dyDescent="0.25">
      <c r="A103" s="13" t="s">
        <v>274</v>
      </c>
      <c r="B103" s="178" t="s">
        <v>486</v>
      </c>
      <c r="C103" s="12" t="s">
        <v>275</v>
      </c>
      <c r="D103" t="s">
        <v>276</v>
      </c>
      <c r="E103" t="s">
        <v>218</v>
      </c>
      <c r="F103" s="14" t="s">
        <v>200</v>
      </c>
      <c r="G103">
        <v>126</v>
      </c>
      <c r="H103">
        <v>54</v>
      </c>
      <c r="I103">
        <v>20</v>
      </c>
      <c r="J103" t="str">
        <f>VLOOKUP(A103,[1]Snacks!$B:$F,5,0)</f>
        <v>20 / Outer Case</v>
      </c>
      <c r="K103">
        <f>VLOOKUP(A103,[1]Snacks!$B:$G,6,0)</f>
        <v>6</v>
      </c>
      <c r="L103">
        <f>VLOOKUP(A103,[1]Snacks!$B:$H,7,0)</f>
        <v>9</v>
      </c>
      <c r="M103">
        <f>VLOOKUP(A103,[1]Snacks!$B:$I,8,0)</f>
        <v>54</v>
      </c>
    </row>
    <row r="104" spans="1:13" x14ac:dyDescent="0.25">
      <c r="A104" s="13" t="s">
        <v>277</v>
      </c>
      <c r="B104" s="178" t="s">
        <v>487</v>
      </c>
      <c r="C104" s="12" t="s">
        <v>278</v>
      </c>
      <c r="D104" t="s">
        <v>279</v>
      </c>
      <c r="E104" t="s">
        <v>158</v>
      </c>
      <c r="F104" s="14" t="s">
        <v>200</v>
      </c>
      <c r="G104">
        <v>126</v>
      </c>
      <c r="H104">
        <v>56</v>
      </c>
      <c r="I104">
        <v>48</v>
      </c>
      <c r="J104" t="str">
        <f>VLOOKUP(A104,[1]Snacks!$B:$F,5,0)</f>
        <v>48 / Outer Case</v>
      </c>
      <c r="K104">
        <f>VLOOKUP(A104,[1]Snacks!$B:$G,6,0)</f>
        <v>8</v>
      </c>
      <c r="L104">
        <f>VLOOKUP(A104,[1]Snacks!$B:$H,7,0)</f>
        <v>7</v>
      </c>
      <c r="M104">
        <f>VLOOKUP(A104,[1]Snacks!$B:$I,8,0)</f>
        <v>56</v>
      </c>
    </row>
    <row r="105" spans="1:13" x14ac:dyDescent="0.25">
      <c r="A105" s="13" t="s">
        <v>280</v>
      </c>
      <c r="B105" s="178" t="s">
        <v>488</v>
      </c>
      <c r="C105" s="12" t="s">
        <v>281</v>
      </c>
      <c r="D105" t="s">
        <v>282</v>
      </c>
      <c r="E105" t="s">
        <v>218</v>
      </c>
      <c r="F105" s="14" t="s">
        <v>200</v>
      </c>
      <c r="G105">
        <v>126</v>
      </c>
      <c r="H105">
        <v>54</v>
      </c>
      <c r="I105">
        <v>20</v>
      </c>
      <c r="J105" t="str">
        <f>VLOOKUP(A105,[1]Snacks!$B:$F,5,0)</f>
        <v>20 / Outer Case</v>
      </c>
      <c r="K105">
        <f>VLOOKUP(A105,[1]Snacks!$B:$G,6,0)</f>
        <v>6</v>
      </c>
      <c r="L105">
        <f>VLOOKUP(A105,[1]Snacks!$B:$H,7,0)</f>
        <v>9</v>
      </c>
      <c r="M105">
        <f>VLOOKUP(A105,[1]Snacks!$B:$I,8,0)</f>
        <v>54</v>
      </c>
    </row>
    <row r="106" spans="1:13" x14ac:dyDescent="0.25">
      <c r="A106" s="13" t="s">
        <v>283</v>
      </c>
      <c r="B106" s="178" t="s">
        <v>489</v>
      </c>
      <c r="C106" s="12" t="s">
        <v>284</v>
      </c>
      <c r="D106" t="s">
        <v>285</v>
      </c>
      <c r="E106" t="s">
        <v>158</v>
      </c>
      <c r="F106" s="14" t="s">
        <v>200</v>
      </c>
      <c r="G106">
        <v>126</v>
      </c>
      <c r="H106">
        <v>56</v>
      </c>
      <c r="I106">
        <v>48</v>
      </c>
      <c r="J106" t="str">
        <f>VLOOKUP(A106,[1]Snacks!$B:$F,5,0)</f>
        <v>48 / Outer Case</v>
      </c>
      <c r="K106">
        <f>VLOOKUP(A106,[1]Snacks!$B:$G,6,0)</f>
        <v>8</v>
      </c>
      <c r="L106">
        <f>VLOOKUP(A106,[1]Snacks!$B:$H,7,0)</f>
        <v>7</v>
      </c>
      <c r="M106">
        <f>VLOOKUP(A106,[1]Snacks!$B:$I,8,0)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FDB1-AE7D-4BFB-ADC8-20AC249BF81A}">
  <dimension ref="A1:H4"/>
  <sheetViews>
    <sheetView workbookViewId="0">
      <selection activeCell="E5" sqref="E5"/>
    </sheetView>
  </sheetViews>
  <sheetFormatPr defaultRowHeight="15" x14ac:dyDescent="0.25"/>
  <cols>
    <col min="1" max="1" width="18.5703125" customWidth="1"/>
    <col min="2" max="2" width="20.28515625" customWidth="1"/>
    <col min="3" max="3" width="21.7109375" customWidth="1"/>
    <col min="4" max="4" width="23.5703125" customWidth="1"/>
    <col min="5" max="5" width="26.28515625" customWidth="1"/>
    <col min="6" max="6" width="19.28515625" customWidth="1"/>
    <col min="7" max="7" width="21.7109375" customWidth="1"/>
    <col min="8" max="8" width="16.140625" customWidth="1"/>
  </cols>
  <sheetData>
    <row r="1" spans="1:8" ht="44.45" customHeight="1" thickBot="1" x14ac:dyDescent="0.3">
      <c r="A1" s="164" t="s">
        <v>286</v>
      </c>
      <c r="B1" s="165"/>
      <c r="C1" s="165"/>
      <c r="D1" s="165"/>
      <c r="E1" s="165"/>
      <c r="F1" s="165"/>
      <c r="G1" s="165"/>
      <c r="H1" s="166"/>
    </row>
    <row r="2" spans="1:8" ht="24" thickBot="1" x14ac:dyDescent="0.4">
      <c r="A2" s="3" t="s">
        <v>287</v>
      </c>
      <c r="B2" s="4">
        <v>45222</v>
      </c>
      <c r="C2" s="1">
        <v>45253</v>
      </c>
      <c r="D2" s="1">
        <v>45283</v>
      </c>
      <c r="E2" s="1">
        <v>45314</v>
      </c>
      <c r="F2" s="1">
        <v>45345</v>
      </c>
      <c r="G2" s="1">
        <v>45374</v>
      </c>
      <c r="H2" s="2">
        <v>45405</v>
      </c>
    </row>
    <row r="3" spans="1:8" ht="151.15" customHeight="1" thickBot="1" x14ac:dyDescent="0.3">
      <c r="A3" s="5" t="s">
        <v>288</v>
      </c>
      <c r="B3" s="6"/>
      <c r="C3" s="7"/>
      <c r="D3" s="8" t="s">
        <v>289</v>
      </c>
      <c r="E3" s="9" t="s">
        <v>290</v>
      </c>
      <c r="F3" s="9" t="s">
        <v>291</v>
      </c>
      <c r="G3" s="9" t="s">
        <v>292</v>
      </c>
      <c r="H3" s="10"/>
    </row>
    <row r="4" spans="1:8" ht="201.6" customHeight="1" thickBot="1" x14ac:dyDescent="0.3">
      <c r="A4" s="5" t="s">
        <v>293</v>
      </c>
      <c r="B4" s="11" t="s">
        <v>294</v>
      </c>
      <c r="C4" s="9" t="s">
        <v>295</v>
      </c>
      <c r="D4" s="9" t="s">
        <v>296</v>
      </c>
      <c r="E4" s="9" t="s">
        <v>297</v>
      </c>
      <c r="F4" s="9" t="s">
        <v>291</v>
      </c>
      <c r="G4" s="9" t="s">
        <v>298</v>
      </c>
      <c r="H4" s="10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0733-0D35-454A-8401-6BE2FC1D1F4E}">
  <sheetPr>
    <pageSetUpPr fitToPage="1"/>
  </sheetPr>
  <dimension ref="A1:S125"/>
  <sheetViews>
    <sheetView topLeftCell="B1" zoomScale="85" zoomScaleNormal="85" workbookViewId="0">
      <pane xSplit="4" ySplit="3" topLeftCell="F117" activePane="bottomRight" state="frozen"/>
      <selection pane="topRight" activeCell="C7" sqref="C7"/>
      <selection pane="bottomLeft" activeCell="C7" sqref="C7"/>
      <selection pane="bottomRight" activeCell="C7" sqref="C7"/>
    </sheetView>
  </sheetViews>
  <sheetFormatPr defaultColWidth="9.140625" defaultRowHeight="15" x14ac:dyDescent="0.25"/>
  <cols>
    <col min="1" max="1" width="26.7109375" style="17" bestFit="1" customWidth="1"/>
    <col min="2" max="2" width="8.5703125" style="16" bestFit="1" customWidth="1"/>
    <col min="3" max="3" width="52.28515625" style="17" bestFit="1" customWidth="1"/>
    <col min="4" max="4" width="16.7109375" style="16" bestFit="1" customWidth="1"/>
    <col min="5" max="5" width="15.28515625" style="16" bestFit="1" customWidth="1"/>
    <col min="6" max="6" width="9.140625" style="16" bestFit="1" customWidth="1"/>
    <col min="7" max="7" width="8.140625" style="16" bestFit="1" customWidth="1"/>
    <col min="8" max="8" width="13.7109375" style="16" bestFit="1" customWidth="1"/>
    <col min="9" max="9" width="13" style="16" bestFit="1" customWidth="1"/>
    <col min="10" max="10" width="22.140625" style="18" bestFit="1" customWidth="1"/>
    <col min="11" max="11" width="18.42578125" style="19" bestFit="1" customWidth="1"/>
    <col min="12" max="12" width="19.140625" style="19" bestFit="1" customWidth="1"/>
    <col min="13" max="13" width="18.140625" style="19" bestFit="1" customWidth="1"/>
    <col min="14" max="14" width="14.5703125" style="19" bestFit="1" customWidth="1"/>
    <col min="15" max="15" width="14.140625" style="19" bestFit="1" customWidth="1"/>
    <col min="16" max="16" width="10" style="19" bestFit="1" customWidth="1"/>
    <col min="17" max="17" width="12.7109375" style="19" customWidth="1"/>
    <col min="18" max="18" width="13.42578125" style="19" bestFit="1" customWidth="1"/>
    <col min="19" max="19" width="12.140625" style="22" customWidth="1"/>
    <col min="20" max="16384" width="9.140625" style="17"/>
  </cols>
  <sheetData>
    <row r="1" spans="1:19" ht="18.75" x14ac:dyDescent="0.3">
      <c r="A1" s="15" t="s">
        <v>299</v>
      </c>
      <c r="I1" s="18"/>
      <c r="J1" s="19"/>
      <c r="O1" s="20"/>
      <c r="R1" s="21" t="s">
        <v>300</v>
      </c>
      <c r="S1" s="17"/>
    </row>
    <row r="2" spans="1:19" x14ac:dyDescent="0.25">
      <c r="I2" s="18"/>
      <c r="J2" s="19"/>
      <c r="R2" s="22"/>
      <c r="S2" s="17"/>
    </row>
    <row r="3" spans="1:19" ht="47.25" x14ac:dyDescent="0.25">
      <c r="A3" s="23" t="s">
        <v>301</v>
      </c>
      <c r="B3" s="23" t="s">
        <v>302</v>
      </c>
      <c r="C3" s="24" t="s">
        <v>303</v>
      </c>
      <c r="D3" s="25" t="s">
        <v>6</v>
      </c>
      <c r="E3" s="26" t="s">
        <v>7</v>
      </c>
      <c r="F3" s="25" t="s">
        <v>304</v>
      </c>
      <c r="G3" s="25" t="s">
        <v>305</v>
      </c>
      <c r="H3" s="27" t="s">
        <v>306</v>
      </c>
      <c r="I3" s="28" t="s">
        <v>307</v>
      </c>
      <c r="J3" s="29" t="s">
        <v>308</v>
      </c>
      <c r="K3" s="29" t="s">
        <v>309</v>
      </c>
      <c r="L3" s="29" t="s">
        <v>310</v>
      </c>
      <c r="M3" s="30" t="s">
        <v>311</v>
      </c>
      <c r="N3" s="31" t="s">
        <v>312</v>
      </c>
      <c r="O3" s="32" t="s">
        <v>313</v>
      </c>
      <c r="P3" s="32" t="s">
        <v>314</v>
      </c>
      <c r="Q3" s="33" t="s">
        <v>315</v>
      </c>
      <c r="R3" s="34" t="s">
        <v>316</v>
      </c>
      <c r="S3" s="17"/>
    </row>
    <row r="4" spans="1:19" ht="15.75" x14ac:dyDescent="0.25">
      <c r="A4" s="172"/>
      <c r="B4" s="35" t="s">
        <v>215</v>
      </c>
      <c r="C4" s="36" t="s">
        <v>317</v>
      </c>
      <c r="D4" s="37">
        <v>20</v>
      </c>
      <c r="E4" s="37">
        <v>26</v>
      </c>
      <c r="F4" s="38">
        <v>10</v>
      </c>
      <c r="G4" s="39">
        <v>26</v>
      </c>
      <c r="H4" s="40"/>
      <c r="I4" s="41">
        <f t="shared" ref="I4:I67" si="0">(F4*D4)+G4-H4</f>
        <v>226</v>
      </c>
      <c r="J4" s="42"/>
      <c r="K4" s="42"/>
      <c r="L4" s="41">
        <f>K4+J4</f>
        <v>0</v>
      </c>
      <c r="M4" s="41">
        <f t="shared" ref="M4:M67" si="1">I4*E4</f>
        <v>5876</v>
      </c>
      <c r="N4" s="41">
        <f t="shared" ref="N4:N67" si="2">L4*E4</f>
        <v>0</v>
      </c>
      <c r="O4" s="43">
        <f t="shared" ref="O4:O67" si="3">SUM(M4:N4)</f>
        <v>5876</v>
      </c>
      <c r="P4" s="43">
        <f t="shared" ref="P4:P67" si="4">+Q4-O4</f>
        <v>-5876</v>
      </c>
      <c r="Q4" s="44"/>
      <c r="R4" s="45"/>
      <c r="S4" s="17"/>
    </row>
    <row r="5" spans="1:19" ht="15.75" x14ac:dyDescent="0.25">
      <c r="A5" s="172"/>
      <c r="B5" s="46" t="s">
        <v>225</v>
      </c>
      <c r="C5" s="47" t="s">
        <v>318</v>
      </c>
      <c r="D5" s="37">
        <v>20</v>
      </c>
      <c r="E5" s="37">
        <v>26</v>
      </c>
      <c r="F5" s="38">
        <v>24</v>
      </c>
      <c r="G5" s="39">
        <v>38</v>
      </c>
      <c r="H5" s="40"/>
      <c r="I5" s="41">
        <f t="shared" si="0"/>
        <v>518</v>
      </c>
      <c r="J5" s="42"/>
      <c r="K5" s="42"/>
      <c r="L5" s="41"/>
      <c r="M5" s="41">
        <f t="shared" si="1"/>
        <v>13468</v>
      </c>
      <c r="N5" s="41">
        <f t="shared" si="2"/>
        <v>0</v>
      </c>
      <c r="O5" s="43">
        <f t="shared" si="3"/>
        <v>13468</v>
      </c>
      <c r="P5" s="43">
        <f t="shared" si="4"/>
        <v>-13468</v>
      </c>
      <c r="Q5" s="44"/>
      <c r="R5" s="45"/>
      <c r="S5" s="17"/>
    </row>
    <row r="6" spans="1:19" ht="15.75" x14ac:dyDescent="0.25">
      <c r="A6" s="172"/>
      <c r="B6" s="48" t="s">
        <v>219</v>
      </c>
      <c r="C6" s="49" t="s">
        <v>319</v>
      </c>
      <c r="D6" s="37">
        <v>20</v>
      </c>
      <c r="E6" s="37">
        <v>26</v>
      </c>
      <c r="F6" s="38">
        <v>22</v>
      </c>
      <c r="G6" s="39">
        <v>30</v>
      </c>
      <c r="H6" s="40"/>
      <c r="I6" s="41">
        <f t="shared" si="0"/>
        <v>470</v>
      </c>
      <c r="J6" s="42"/>
      <c r="K6" s="42"/>
      <c r="L6" s="41">
        <f t="shared" ref="L6:L11" si="5">K6+J6</f>
        <v>0</v>
      </c>
      <c r="M6" s="41">
        <f t="shared" si="1"/>
        <v>12220</v>
      </c>
      <c r="N6" s="41">
        <f t="shared" si="2"/>
        <v>0</v>
      </c>
      <c r="O6" s="43">
        <f t="shared" si="3"/>
        <v>12220</v>
      </c>
      <c r="P6" s="43">
        <f t="shared" si="4"/>
        <v>-12220</v>
      </c>
      <c r="Q6" s="44"/>
      <c r="R6" s="45"/>
      <c r="S6" s="17"/>
    </row>
    <row r="7" spans="1:19" ht="15.75" x14ac:dyDescent="0.25">
      <c r="A7" s="172"/>
      <c r="B7" s="50" t="s">
        <v>222</v>
      </c>
      <c r="C7" s="51" t="s">
        <v>320</v>
      </c>
      <c r="D7" s="37">
        <v>20</v>
      </c>
      <c r="E7" s="37">
        <v>26</v>
      </c>
      <c r="F7" s="38">
        <v>14</v>
      </c>
      <c r="G7" s="39">
        <v>34</v>
      </c>
      <c r="H7" s="40"/>
      <c r="I7" s="41">
        <f t="shared" si="0"/>
        <v>314</v>
      </c>
      <c r="J7" s="42"/>
      <c r="K7" s="42"/>
      <c r="L7" s="41">
        <f t="shared" si="5"/>
        <v>0</v>
      </c>
      <c r="M7" s="41">
        <f t="shared" si="1"/>
        <v>8164</v>
      </c>
      <c r="N7" s="41">
        <f t="shared" si="2"/>
        <v>0</v>
      </c>
      <c r="O7" s="43">
        <f t="shared" si="3"/>
        <v>8164</v>
      </c>
      <c r="P7" s="43">
        <f t="shared" si="4"/>
        <v>-8164</v>
      </c>
      <c r="Q7" s="44"/>
      <c r="R7" s="45"/>
      <c r="S7" s="17"/>
    </row>
    <row r="8" spans="1:19" ht="15.75" x14ac:dyDescent="0.25">
      <c r="A8" s="172"/>
      <c r="B8" s="52" t="s">
        <v>228</v>
      </c>
      <c r="C8" s="53" t="s">
        <v>321</v>
      </c>
      <c r="D8" s="37">
        <v>20</v>
      </c>
      <c r="E8" s="37">
        <v>26</v>
      </c>
      <c r="F8" s="38">
        <v>5</v>
      </c>
      <c r="G8" s="39">
        <v>16</v>
      </c>
      <c r="H8" s="40"/>
      <c r="I8" s="41">
        <f t="shared" si="0"/>
        <v>116</v>
      </c>
      <c r="J8" s="42"/>
      <c r="K8" s="42"/>
      <c r="L8" s="41">
        <f t="shared" si="5"/>
        <v>0</v>
      </c>
      <c r="M8" s="41">
        <f t="shared" si="1"/>
        <v>3016</v>
      </c>
      <c r="N8" s="41">
        <f t="shared" si="2"/>
        <v>0</v>
      </c>
      <c r="O8" s="43">
        <f t="shared" si="3"/>
        <v>3016</v>
      </c>
      <c r="P8" s="43">
        <f t="shared" si="4"/>
        <v>-3016</v>
      </c>
      <c r="Q8" s="44"/>
      <c r="R8" s="45"/>
      <c r="S8" s="17"/>
    </row>
    <row r="9" spans="1:19" ht="15.75" x14ac:dyDescent="0.25">
      <c r="A9" s="172"/>
      <c r="B9" s="54" t="s">
        <v>230</v>
      </c>
      <c r="C9" s="55" t="s">
        <v>231</v>
      </c>
      <c r="D9" s="37">
        <v>30</v>
      </c>
      <c r="E9" s="37">
        <v>48</v>
      </c>
      <c r="F9" s="38">
        <v>1</v>
      </c>
      <c r="G9" s="39">
        <v>21</v>
      </c>
      <c r="H9" s="40"/>
      <c r="I9" s="41">
        <f t="shared" si="0"/>
        <v>51</v>
      </c>
      <c r="J9" s="42"/>
      <c r="K9" s="42"/>
      <c r="L9" s="41">
        <f t="shared" si="5"/>
        <v>0</v>
      </c>
      <c r="M9" s="41">
        <f t="shared" si="1"/>
        <v>2448</v>
      </c>
      <c r="N9" s="41">
        <f t="shared" si="2"/>
        <v>0</v>
      </c>
      <c r="O9" s="43">
        <f t="shared" si="3"/>
        <v>2448</v>
      </c>
      <c r="P9" s="43">
        <f t="shared" si="4"/>
        <v>-2448</v>
      </c>
      <c r="Q9" s="44"/>
      <c r="R9" s="45"/>
      <c r="S9" s="17"/>
    </row>
    <row r="10" spans="1:19" ht="15.75" x14ac:dyDescent="0.25">
      <c r="A10" s="172"/>
      <c r="B10" s="54" t="s">
        <v>233</v>
      </c>
      <c r="C10" s="55" t="s">
        <v>234</v>
      </c>
      <c r="D10" s="37">
        <v>30</v>
      </c>
      <c r="E10" s="37">
        <v>48</v>
      </c>
      <c r="F10" s="38"/>
      <c r="G10" s="39">
        <v>28</v>
      </c>
      <c r="H10" s="40"/>
      <c r="I10" s="41">
        <f t="shared" si="0"/>
        <v>28</v>
      </c>
      <c r="J10" s="42"/>
      <c r="K10" s="42"/>
      <c r="L10" s="41">
        <f t="shared" si="5"/>
        <v>0</v>
      </c>
      <c r="M10" s="41">
        <f t="shared" si="1"/>
        <v>1344</v>
      </c>
      <c r="N10" s="41">
        <f t="shared" si="2"/>
        <v>0</v>
      </c>
      <c r="O10" s="43">
        <f t="shared" si="3"/>
        <v>1344</v>
      </c>
      <c r="P10" s="43">
        <f t="shared" si="4"/>
        <v>-1344</v>
      </c>
      <c r="Q10" s="44"/>
      <c r="R10" s="45"/>
      <c r="S10" s="17"/>
    </row>
    <row r="11" spans="1:19" ht="15.75" x14ac:dyDescent="0.25">
      <c r="A11" s="172"/>
      <c r="B11" s="54" t="s">
        <v>235</v>
      </c>
      <c r="C11" s="55" t="s">
        <v>236</v>
      </c>
      <c r="D11" s="37">
        <v>30</v>
      </c>
      <c r="E11" s="37">
        <v>48</v>
      </c>
      <c r="F11" s="38"/>
      <c r="G11" s="39">
        <v>27</v>
      </c>
      <c r="H11" s="40"/>
      <c r="I11" s="41">
        <f t="shared" si="0"/>
        <v>27</v>
      </c>
      <c r="J11" s="42"/>
      <c r="K11" s="42"/>
      <c r="L11" s="41">
        <f t="shared" si="5"/>
        <v>0</v>
      </c>
      <c r="M11" s="41">
        <f t="shared" si="1"/>
        <v>1296</v>
      </c>
      <c r="N11" s="41">
        <f t="shared" si="2"/>
        <v>0</v>
      </c>
      <c r="O11" s="43">
        <f t="shared" si="3"/>
        <v>1296</v>
      </c>
      <c r="P11" s="43">
        <f t="shared" si="4"/>
        <v>-1296</v>
      </c>
      <c r="Q11" s="44"/>
      <c r="R11" s="45"/>
      <c r="S11" s="17"/>
    </row>
    <row r="12" spans="1:19" ht="15.75" x14ac:dyDescent="0.25">
      <c r="A12" s="172"/>
      <c r="B12" s="56" t="s">
        <v>243</v>
      </c>
      <c r="C12" s="57" t="s">
        <v>322</v>
      </c>
      <c r="D12" s="37">
        <v>30</v>
      </c>
      <c r="E12" s="37">
        <v>48</v>
      </c>
      <c r="F12" s="38"/>
      <c r="G12" s="39">
        <v>25</v>
      </c>
      <c r="H12" s="40"/>
      <c r="I12" s="41">
        <f t="shared" si="0"/>
        <v>25</v>
      </c>
      <c r="J12" s="42"/>
      <c r="K12" s="42"/>
      <c r="L12" s="41"/>
      <c r="M12" s="41">
        <f t="shared" si="1"/>
        <v>1200</v>
      </c>
      <c r="N12" s="41">
        <f t="shared" si="2"/>
        <v>0</v>
      </c>
      <c r="O12" s="43">
        <f t="shared" si="3"/>
        <v>1200</v>
      </c>
      <c r="P12" s="43">
        <f t="shared" si="4"/>
        <v>-1200</v>
      </c>
      <c r="Q12" s="44"/>
      <c r="R12" s="45"/>
      <c r="S12" s="17"/>
    </row>
    <row r="13" spans="1:19" ht="15.75" x14ac:dyDescent="0.25">
      <c r="A13" s="172"/>
      <c r="B13" s="54" t="s">
        <v>237</v>
      </c>
      <c r="C13" s="55" t="s">
        <v>238</v>
      </c>
      <c r="D13" s="37">
        <v>20</v>
      </c>
      <c r="E13" s="37">
        <v>26</v>
      </c>
      <c r="F13" s="38">
        <v>2</v>
      </c>
      <c r="G13" s="39">
        <v>55</v>
      </c>
      <c r="H13" s="40"/>
      <c r="I13" s="41">
        <f t="shared" si="0"/>
        <v>95</v>
      </c>
      <c r="J13" s="42"/>
      <c r="K13" s="42"/>
      <c r="L13" s="41">
        <f>K13+J13</f>
        <v>0</v>
      </c>
      <c r="M13" s="41">
        <f t="shared" si="1"/>
        <v>2470</v>
      </c>
      <c r="N13" s="41">
        <f t="shared" si="2"/>
        <v>0</v>
      </c>
      <c r="O13" s="43">
        <f t="shared" si="3"/>
        <v>2470</v>
      </c>
      <c r="P13" s="43">
        <f t="shared" si="4"/>
        <v>-2470</v>
      </c>
      <c r="Q13" s="44"/>
      <c r="R13" s="45"/>
      <c r="S13" s="17"/>
    </row>
    <row r="14" spans="1:19" ht="15.75" x14ac:dyDescent="0.25">
      <c r="A14" s="172"/>
      <c r="B14" s="54" t="s">
        <v>239</v>
      </c>
      <c r="C14" s="55" t="s">
        <v>240</v>
      </c>
      <c r="D14" s="37">
        <v>20</v>
      </c>
      <c r="E14" s="37">
        <v>26</v>
      </c>
      <c r="F14" s="38">
        <v>3</v>
      </c>
      <c r="G14" s="39">
        <v>15</v>
      </c>
      <c r="H14" s="40"/>
      <c r="I14" s="41">
        <f t="shared" si="0"/>
        <v>75</v>
      </c>
      <c r="J14" s="42"/>
      <c r="K14" s="42"/>
      <c r="L14" s="41">
        <f>K14+J14</f>
        <v>0</v>
      </c>
      <c r="M14" s="41">
        <f t="shared" si="1"/>
        <v>1950</v>
      </c>
      <c r="N14" s="41">
        <f t="shared" si="2"/>
        <v>0</v>
      </c>
      <c r="O14" s="43">
        <f t="shared" si="3"/>
        <v>1950</v>
      </c>
      <c r="P14" s="43">
        <f t="shared" si="4"/>
        <v>-1950</v>
      </c>
      <c r="Q14" s="44"/>
      <c r="R14" s="45"/>
      <c r="S14" s="17"/>
    </row>
    <row r="15" spans="1:19" ht="15.75" x14ac:dyDescent="0.25">
      <c r="A15" s="172"/>
      <c r="B15" s="54" t="s">
        <v>241</v>
      </c>
      <c r="C15" s="55" t="s">
        <v>242</v>
      </c>
      <c r="D15" s="37">
        <v>20</v>
      </c>
      <c r="E15" s="37">
        <v>26</v>
      </c>
      <c r="F15" s="38">
        <v>4</v>
      </c>
      <c r="G15" s="39">
        <v>48</v>
      </c>
      <c r="H15" s="40"/>
      <c r="I15" s="41">
        <f t="shared" si="0"/>
        <v>128</v>
      </c>
      <c r="J15" s="42"/>
      <c r="K15" s="42"/>
      <c r="L15" s="41">
        <f>K15+J15</f>
        <v>0</v>
      </c>
      <c r="M15" s="41">
        <f t="shared" si="1"/>
        <v>3328</v>
      </c>
      <c r="N15" s="41">
        <f t="shared" si="2"/>
        <v>0</v>
      </c>
      <c r="O15" s="43">
        <f t="shared" si="3"/>
        <v>3328</v>
      </c>
      <c r="P15" s="43">
        <f t="shared" si="4"/>
        <v>-3328</v>
      </c>
      <c r="Q15" s="44"/>
      <c r="R15" s="45"/>
      <c r="S15" s="17"/>
    </row>
    <row r="16" spans="1:19" ht="15.75" x14ac:dyDescent="0.25">
      <c r="A16" s="173"/>
      <c r="B16" s="58" t="s">
        <v>247</v>
      </c>
      <c r="C16" s="59" t="s">
        <v>323</v>
      </c>
      <c r="D16" s="60">
        <v>20</v>
      </c>
      <c r="E16" s="60">
        <v>26</v>
      </c>
      <c r="F16" s="61">
        <v>13</v>
      </c>
      <c r="G16" s="62">
        <v>26</v>
      </c>
      <c r="H16" s="63"/>
      <c r="I16" s="41">
        <f t="shared" si="0"/>
        <v>286</v>
      </c>
      <c r="J16" s="64"/>
      <c r="K16" s="64"/>
      <c r="L16" s="65"/>
      <c r="M16" s="41">
        <f t="shared" si="1"/>
        <v>7436</v>
      </c>
      <c r="N16" s="41">
        <f t="shared" si="2"/>
        <v>0</v>
      </c>
      <c r="O16" s="43">
        <f t="shared" si="3"/>
        <v>7436</v>
      </c>
      <c r="P16" s="66">
        <f t="shared" si="4"/>
        <v>-7436</v>
      </c>
      <c r="Q16" s="67"/>
      <c r="R16" s="68"/>
      <c r="S16" s="17"/>
    </row>
    <row r="17" spans="1:19" ht="15.75" x14ac:dyDescent="0.25">
      <c r="A17" s="167" t="s">
        <v>324</v>
      </c>
      <c r="B17" s="69" t="s">
        <v>25</v>
      </c>
      <c r="C17" s="70" t="s">
        <v>325</v>
      </c>
      <c r="D17" s="71">
        <v>20</v>
      </c>
      <c r="E17" s="71">
        <v>26</v>
      </c>
      <c r="F17" s="72"/>
      <c r="G17" s="73"/>
      <c r="H17" s="74"/>
      <c r="I17" s="41">
        <f t="shared" si="0"/>
        <v>0</v>
      </c>
      <c r="J17" s="75"/>
      <c r="K17" s="75"/>
      <c r="L17" s="76">
        <f t="shared" ref="L17:L30" si="6">K17+J17</f>
        <v>0</v>
      </c>
      <c r="M17" s="41">
        <f t="shared" si="1"/>
        <v>0</v>
      </c>
      <c r="N17" s="41">
        <f t="shared" si="2"/>
        <v>0</v>
      </c>
      <c r="O17" s="43">
        <f t="shared" si="3"/>
        <v>0</v>
      </c>
      <c r="P17" s="77">
        <f t="shared" si="4"/>
        <v>0</v>
      </c>
      <c r="Q17" s="78"/>
      <c r="R17" s="79"/>
      <c r="S17" s="17"/>
    </row>
    <row r="18" spans="1:19" ht="15.75" x14ac:dyDescent="0.25">
      <c r="A18" s="168"/>
      <c r="B18" s="80" t="s">
        <v>36</v>
      </c>
      <c r="C18" s="81" t="s">
        <v>326</v>
      </c>
      <c r="D18" s="37">
        <v>20</v>
      </c>
      <c r="E18" s="37">
        <v>26</v>
      </c>
      <c r="F18" s="38"/>
      <c r="G18" s="39">
        <v>14</v>
      </c>
      <c r="H18" s="40"/>
      <c r="I18" s="41">
        <f t="shared" si="0"/>
        <v>14</v>
      </c>
      <c r="J18" s="42"/>
      <c r="K18" s="42"/>
      <c r="L18" s="41">
        <f t="shared" si="6"/>
        <v>0</v>
      </c>
      <c r="M18" s="41">
        <f t="shared" si="1"/>
        <v>364</v>
      </c>
      <c r="N18" s="41">
        <f t="shared" si="2"/>
        <v>0</v>
      </c>
      <c r="O18" s="43">
        <f t="shared" si="3"/>
        <v>364</v>
      </c>
      <c r="P18" s="43">
        <f t="shared" si="4"/>
        <v>-364</v>
      </c>
      <c r="Q18" s="44"/>
      <c r="R18" s="45"/>
      <c r="S18" s="17"/>
    </row>
    <row r="19" spans="1:19" ht="15.75" x14ac:dyDescent="0.25">
      <c r="A19" s="168"/>
      <c r="B19" s="80" t="s">
        <v>327</v>
      </c>
      <c r="C19" s="81" t="s">
        <v>328</v>
      </c>
      <c r="D19" s="37">
        <v>42</v>
      </c>
      <c r="E19" s="37">
        <v>24</v>
      </c>
      <c r="F19" s="38"/>
      <c r="G19" s="39"/>
      <c r="H19" s="40"/>
      <c r="I19" s="41">
        <f t="shared" si="0"/>
        <v>0</v>
      </c>
      <c r="J19" s="42"/>
      <c r="K19" s="42"/>
      <c r="L19" s="41">
        <f t="shared" si="6"/>
        <v>0</v>
      </c>
      <c r="M19" s="41">
        <f t="shared" si="1"/>
        <v>0</v>
      </c>
      <c r="N19" s="41">
        <f t="shared" si="2"/>
        <v>0</v>
      </c>
      <c r="O19" s="43">
        <f t="shared" si="3"/>
        <v>0</v>
      </c>
      <c r="P19" s="43">
        <f t="shared" si="4"/>
        <v>0</v>
      </c>
      <c r="Q19" s="44"/>
      <c r="R19" s="45"/>
      <c r="S19" s="17"/>
    </row>
    <row r="20" spans="1:19" ht="15.75" x14ac:dyDescent="0.25">
      <c r="A20" s="168"/>
      <c r="B20" s="80" t="s">
        <v>39</v>
      </c>
      <c r="C20" s="81" t="s">
        <v>329</v>
      </c>
      <c r="D20" s="37">
        <v>20</v>
      </c>
      <c r="E20" s="37">
        <v>26</v>
      </c>
      <c r="F20" s="38"/>
      <c r="G20" s="39"/>
      <c r="H20" s="40"/>
      <c r="I20" s="41">
        <f t="shared" si="0"/>
        <v>0</v>
      </c>
      <c r="J20" s="42"/>
      <c r="K20" s="42"/>
      <c r="L20" s="41">
        <f t="shared" si="6"/>
        <v>0</v>
      </c>
      <c r="M20" s="41">
        <f t="shared" si="1"/>
        <v>0</v>
      </c>
      <c r="N20" s="41">
        <f t="shared" si="2"/>
        <v>0</v>
      </c>
      <c r="O20" s="43">
        <f t="shared" si="3"/>
        <v>0</v>
      </c>
      <c r="P20" s="43">
        <f t="shared" si="4"/>
        <v>0</v>
      </c>
      <c r="Q20" s="44"/>
      <c r="R20" s="45"/>
      <c r="S20" s="17"/>
    </row>
    <row r="21" spans="1:19" ht="15.75" x14ac:dyDescent="0.25">
      <c r="A21" s="168"/>
      <c r="B21" s="82" t="s">
        <v>60</v>
      </c>
      <c r="C21" s="83" t="s">
        <v>330</v>
      </c>
      <c r="D21" s="37">
        <v>42</v>
      </c>
      <c r="E21" s="37">
        <v>24</v>
      </c>
      <c r="F21" s="38"/>
      <c r="G21" s="39"/>
      <c r="H21" s="40"/>
      <c r="I21" s="41">
        <f t="shared" si="0"/>
        <v>0</v>
      </c>
      <c r="J21" s="42"/>
      <c r="K21" s="42"/>
      <c r="L21" s="41">
        <f t="shared" si="6"/>
        <v>0</v>
      </c>
      <c r="M21" s="41">
        <f t="shared" si="1"/>
        <v>0</v>
      </c>
      <c r="N21" s="41">
        <f t="shared" si="2"/>
        <v>0</v>
      </c>
      <c r="O21" s="43">
        <f t="shared" si="3"/>
        <v>0</v>
      </c>
      <c r="P21" s="43">
        <f t="shared" si="4"/>
        <v>0</v>
      </c>
      <c r="Q21" s="44"/>
      <c r="R21" s="45"/>
      <c r="S21" s="17"/>
    </row>
    <row r="22" spans="1:19" ht="15.75" x14ac:dyDescent="0.25">
      <c r="A22" s="168"/>
      <c r="B22" s="80" t="s">
        <v>29</v>
      </c>
      <c r="C22" s="81" t="s">
        <v>331</v>
      </c>
      <c r="D22" s="37">
        <v>20</v>
      </c>
      <c r="E22" s="37">
        <v>26</v>
      </c>
      <c r="F22" s="38">
        <v>20</v>
      </c>
      <c r="G22" s="39"/>
      <c r="H22" s="40"/>
      <c r="I22" s="41">
        <f t="shared" si="0"/>
        <v>400</v>
      </c>
      <c r="J22" s="42"/>
      <c r="K22" s="42"/>
      <c r="L22" s="41">
        <f t="shared" si="6"/>
        <v>0</v>
      </c>
      <c r="M22" s="41">
        <f t="shared" si="1"/>
        <v>10400</v>
      </c>
      <c r="N22" s="41">
        <f t="shared" si="2"/>
        <v>0</v>
      </c>
      <c r="O22" s="43">
        <f t="shared" si="3"/>
        <v>10400</v>
      </c>
      <c r="P22" s="43">
        <f t="shared" si="4"/>
        <v>-10400</v>
      </c>
      <c r="Q22" s="44"/>
      <c r="R22" s="45"/>
      <c r="S22" s="17"/>
    </row>
    <row r="23" spans="1:19" ht="15.75" x14ac:dyDescent="0.25">
      <c r="A23" s="168"/>
      <c r="B23" s="80" t="s">
        <v>31</v>
      </c>
      <c r="C23" s="81" t="s">
        <v>332</v>
      </c>
      <c r="D23" s="37">
        <v>42</v>
      </c>
      <c r="E23" s="37">
        <v>24</v>
      </c>
      <c r="F23" s="38"/>
      <c r="G23" s="39"/>
      <c r="H23" s="40"/>
      <c r="I23" s="41">
        <f t="shared" si="0"/>
        <v>0</v>
      </c>
      <c r="J23" s="42"/>
      <c r="K23" s="42"/>
      <c r="L23" s="41">
        <f t="shared" si="6"/>
        <v>0</v>
      </c>
      <c r="M23" s="41">
        <f t="shared" si="1"/>
        <v>0</v>
      </c>
      <c r="N23" s="41">
        <f t="shared" si="2"/>
        <v>0</v>
      </c>
      <c r="O23" s="43">
        <f t="shared" si="3"/>
        <v>0</v>
      </c>
      <c r="P23" s="43">
        <f t="shared" si="4"/>
        <v>0</v>
      </c>
      <c r="Q23" s="44"/>
      <c r="R23" s="45"/>
      <c r="S23" s="17"/>
    </row>
    <row r="24" spans="1:19" ht="15.75" x14ac:dyDescent="0.25">
      <c r="A24" s="168"/>
      <c r="B24" s="80" t="s">
        <v>21</v>
      </c>
      <c r="C24" s="81" t="s">
        <v>333</v>
      </c>
      <c r="D24" s="37">
        <v>42</v>
      </c>
      <c r="E24" s="37">
        <v>24</v>
      </c>
      <c r="F24" s="38"/>
      <c r="G24" s="39"/>
      <c r="H24" s="40"/>
      <c r="I24" s="41">
        <f t="shared" si="0"/>
        <v>0</v>
      </c>
      <c r="J24" s="42"/>
      <c r="K24" s="42"/>
      <c r="L24" s="41">
        <f t="shared" si="6"/>
        <v>0</v>
      </c>
      <c r="M24" s="41">
        <f t="shared" si="1"/>
        <v>0</v>
      </c>
      <c r="N24" s="41">
        <f t="shared" si="2"/>
        <v>0</v>
      </c>
      <c r="O24" s="43">
        <f t="shared" si="3"/>
        <v>0</v>
      </c>
      <c r="P24" s="43">
        <f t="shared" si="4"/>
        <v>0</v>
      </c>
      <c r="Q24" s="44"/>
      <c r="R24" s="45"/>
      <c r="S24" s="17"/>
    </row>
    <row r="25" spans="1:19" ht="15.75" x14ac:dyDescent="0.25">
      <c r="A25" s="168"/>
      <c r="B25" s="80" t="s">
        <v>34</v>
      </c>
      <c r="C25" s="81" t="s">
        <v>334</v>
      </c>
      <c r="D25" s="37">
        <v>20</v>
      </c>
      <c r="E25" s="37">
        <v>26</v>
      </c>
      <c r="F25" s="38"/>
      <c r="G25" s="39"/>
      <c r="H25" s="40"/>
      <c r="I25" s="41">
        <f t="shared" si="0"/>
        <v>0</v>
      </c>
      <c r="J25" s="42"/>
      <c r="K25" s="42"/>
      <c r="L25" s="41">
        <f t="shared" si="6"/>
        <v>0</v>
      </c>
      <c r="M25" s="41">
        <f t="shared" si="1"/>
        <v>0</v>
      </c>
      <c r="N25" s="41">
        <f t="shared" si="2"/>
        <v>0</v>
      </c>
      <c r="O25" s="43">
        <f t="shared" si="3"/>
        <v>0</v>
      </c>
      <c r="P25" s="43">
        <f t="shared" si="4"/>
        <v>0</v>
      </c>
      <c r="Q25" s="44"/>
      <c r="R25" s="45"/>
      <c r="S25" s="17"/>
    </row>
    <row r="26" spans="1:19" ht="15.75" x14ac:dyDescent="0.25">
      <c r="A26" s="168"/>
      <c r="B26" s="80" t="s">
        <v>335</v>
      </c>
      <c r="C26" s="81" t="s">
        <v>336</v>
      </c>
      <c r="D26" s="37">
        <v>42</v>
      </c>
      <c r="E26" s="37">
        <v>24</v>
      </c>
      <c r="F26" s="38"/>
      <c r="G26" s="39"/>
      <c r="H26" s="40"/>
      <c r="I26" s="41">
        <f t="shared" si="0"/>
        <v>0</v>
      </c>
      <c r="J26" s="42"/>
      <c r="K26" s="42"/>
      <c r="L26" s="41">
        <f t="shared" si="6"/>
        <v>0</v>
      </c>
      <c r="M26" s="41">
        <f t="shared" si="1"/>
        <v>0</v>
      </c>
      <c r="N26" s="41">
        <f t="shared" si="2"/>
        <v>0</v>
      </c>
      <c r="O26" s="43">
        <f t="shared" si="3"/>
        <v>0</v>
      </c>
      <c r="P26" s="43">
        <f t="shared" si="4"/>
        <v>0</v>
      </c>
      <c r="Q26" s="44"/>
      <c r="R26" s="45"/>
      <c r="S26" s="17"/>
    </row>
    <row r="27" spans="1:19" ht="15.75" x14ac:dyDescent="0.25">
      <c r="A27" s="168"/>
      <c r="B27" s="80" t="s">
        <v>42</v>
      </c>
      <c r="C27" s="81" t="s">
        <v>337</v>
      </c>
      <c r="D27" s="37">
        <v>20</v>
      </c>
      <c r="E27" s="37">
        <v>26</v>
      </c>
      <c r="F27" s="38"/>
      <c r="G27" s="39"/>
      <c r="H27" s="40"/>
      <c r="I27" s="41">
        <f t="shared" si="0"/>
        <v>0</v>
      </c>
      <c r="J27" s="42"/>
      <c r="K27" s="42"/>
      <c r="L27" s="41">
        <f t="shared" si="6"/>
        <v>0</v>
      </c>
      <c r="M27" s="41">
        <f t="shared" si="1"/>
        <v>0</v>
      </c>
      <c r="N27" s="41">
        <f t="shared" si="2"/>
        <v>0</v>
      </c>
      <c r="O27" s="43">
        <f t="shared" si="3"/>
        <v>0</v>
      </c>
      <c r="P27" s="43">
        <f t="shared" si="4"/>
        <v>0</v>
      </c>
      <c r="Q27" s="44"/>
      <c r="R27" s="45"/>
      <c r="S27" s="17"/>
    </row>
    <row r="28" spans="1:19" ht="15.75" x14ac:dyDescent="0.25">
      <c r="A28" s="168"/>
      <c r="B28" s="80" t="s">
        <v>338</v>
      </c>
      <c r="C28" s="81" t="s">
        <v>339</v>
      </c>
      <c r="D28" s="37">
        <v>42</v>
      </c>
      <c r="E28" s="37">
        <v>24</v>
      </c>
      <c r="F28" s="38"/>
      <c r="G28" s="39"/>
      <c r="H28" s="40"/>
      <c r="I28" s="41">
        <f t="shared" si="0"/>
        <v>0</v>
      </c>
      <c r="J28" s="42"/>
      <c r="K28" s="42"/>
      <c r="L28" s="41">
        <f t="shared" si="6"/>
        <v>0</v>
      </c>
      <c r="M28" s="41">
        <f t="shared" si="1"/>
        <v>0</v>
      </c>
      <c r="N28" s="41">
        <f t="shared" si="2"/>
        <v>0</v>
      </c>
      <c r="O28" s="43">
        <f t="shared" si="3"/>
        <v>0</v>
      </c>
      <c r="P28" s="43">
        <f t="shared" si="4"/>
        <v>0</v>
      </c>
      <c r="Q28" s="44"/>
      <c r="R28" s="45"/>
      <c r="S28" s="17"/>
    </row>
    <row r="29" spans="1:19" ht="15.75" x14ac:dyDescent="0.25">
      <c r="A29" s="168"/>
      <c r="B29" s="80" t="s">
        <v>46</v>
      </c>
      <c r="C29" s="81" t="s">
        <v>340</v>
      </c>
      <c r="D29" s="37">
        <v>20</v>
      </c>
      <c r="E29" s="37">
        <v>26</v>
      </c>
      <c r="F29" s="38">
        <v>34</v>
      </c>
      <c r="G29" s="39"/>
      <c r="H29" s="40"/>
      <c r="I29" s="41">
        <f t="shared" si="0"/>
        <v>680</v>
      </c>
      <c r="J29" s="42"/>
      <c r="K29" s="42"/>
      <c r="L29" s="41">
        <f t="shared" si="6"/>
        <v>0</v>
      </c>
      <c r="M29" s="41">
        <f t="shared" si="1"/>
        <v>17680</v>
      </c>
      <c r="N29" s="41">
        <f t="shared" si="2"/>
        <v>0</v>
      </c>
      <c r="O29" s="43">
        <f t="shared" si="3"/>
        <v>17680</v>
      </c>
      <c r="P29" s="43">
        <f t="shared" si="4"/>
        <v>-17680</v>
      </c>
      <c r="Q29" s="44"/>
      <c r="R29" s="45"/>
      <c r="S29" s="17"/>
    </row>
    <row r="30" spans="1:19" ht="15.75" x14ac:dyDescent="0.25">
      <c r="A30" s="168"/>
      <c r="B30" s="80" t="s">
        <v>44</v>
      </c>
      <c r="C30" s="81" t="s">
        <v>341</v>
      </c>
      <c r="D30" s="37">
        <v>42</v>
      </c>
      <c r="E30" s="37">
        <v>24</v>
      </c>
      <c r="F30" s="38">
        <v>7</v>
      </c>
      <c r="G30" s="39"/>
      <c r="H30" s="40"/>
      <c r="I30" s="41">
        <f t="shared" si="0"/>
        <v>294</v>
      </c>
      <c r="J30" s="42"/>
      <c r="K30" s="42"/>
      <c r="L30" s="41">
        <f t="shared" si="6"/>
        <v>0</v>
      </c>
      <c r="M30" s="41">
        <f t="shared" si="1"/>
        <v>7056</v>
      </c>
      <c r="N30" s="41">
        <f t="shared" si="2"/>
        <v>0</v>
      </c>
      <c r="O30" s="43">
        <f t="shared" si="3"/>
        <v>7056</v>
      </c>
      <c r="P30" s="43">
        <f t="shared" si="4"/>
        <v>-7056</v>
      </c>
      <c r="Q30" s="44"/>
      <c r="R30" s="45"/>
      <c r="S30" s="17"/>
    </row>
    <row r="31" spans="1:19" ht="15.75" x14ac:dyDescent="0.25">
      <c r="A31" s="168"/>
      <c r="B31" s="80" t="s">
        <v>48</v>
      </c>
      <c r="C31" s="81" t="s">
        <v>342</v>
      </c>
      <c r="D31" s="37">
        <v>20</v>
      </c>
      <c r="E31" s="37">
        <v>26</v>
      </c>
      <c r="F31" s="38"/>
      <c r="G31" s="39"/>
      <c r="H31" s="40"/>
      <c r="I31" s="41">
        <f t="shared" si="0"/>
        <v>0</v>
      </c>
      <c r="J31" s="42"/>
      <c r="K31" s="42"/>
      <c r="L31" s="41"/>
      <c r="M31" s="41">
        <f t="shared" si="1"/>
        <v>0</v>
      </c>
      <c r="N31" s="41">
        <f t="shared" si="2"/>
        <v>0</v>
      </c>
      <c r="O31" s="43">
        <f t="shared" si="3"/>
        <v>0</v>
      </c>
      <c r="P31" s="43">
        <f t="shared" si="4"/>
        <v>0</v>
      </c>
      <c r="Q31" s="44"/>
      <c r="R31" s="45"/>
      <c r="S31" s="17"/>
    </row>
    <row r="32" spans="1:19" ht="15.75" x14ac:dyDescent="0.25">
      <c r="A32" s="168"/>
      <c r="B32" s="80" t="s">
        <v>50</v>
      </c>
      <c r="C32" s="81" t="s">
        <v>343</v>
      </c>
      <c r="D32" s="37">
        <v>20</v>
      </c>
      <c r="E32" s="37">
        <v>26</v>
      </c>
      <c r="F32" s="38">
        <v>1</v>
      </c>
      <c r="G32" s="39"/>
      <c r="H32" s="40"/>
      <c r="I32" s="41">
        <f t="shared" si="0"/>
        <v>20</v>
      </c>
      <c r="J32" s="42"/>
      <c r="K32" s="42"/>
      <c r="L32" s="41"/>
      <c r="M32" s="41">
        <f t="shared" si="1"/>
        <v>520</v>
      </c>
      <c r="N32" s="41">
        <f t="shared" si="2"/>
        <v>0</v>
      </c>
      <c r="O32" s="43">
        <f t="shared" si="3"/>
        <v>520</v>
      </c>
      <c r="P32" s="43">
        <f t="shared" si="4"/>
        <v>-520</v>
      </c>
      <c r="Q32" s="44"/>
      <c r="R32" s="45"/>
      <c r="S32" s="17"/>
    </row>
    <row r="33" spans="1:19" ht="15.75" x14ac:dyDescent="0.25">
      <c r="A33" s="168"/>
      <c r="B33" s="80" t="s">
        <v>54</v>
      </c>
      <c r="C33" s="81" t="s">
        <v>344</v>
      </c>
      <c r="D33" s="37">
        <v>20</v>
      </c>
      <c r="E33" s="37">
        <v>26</v>
      </c>
      <c r="F33" s="38"/>
      <c r="G33" s="39"/>
      <c r="H33" s="40"/>
      <c r="I33" s="41">
        <f t="shared" si="0"/>
        <v>0</v>
      </c>
      <c r="J33" s="42"/>
      <c r="K33" s="42"/>
      <c r="L33" s="41"/>
      <c r="M33" s="41">
        <f t="shared" si="1"/>
        <v>0</v>
      </c>
      <c r="N33" s="41">
        <f t="shared" si="2"/>
        <v>0</v>
      </c>
      <c r="O33" s="43">
        <f t="shared" si="3"/>
        <v>0</v>
      </c>
      <c r="P33" s="43">
        <f t="shared" si="4"/>
        <v>0</v>
      </c>
      <c r="Q33" s="44"/>
      <c r="R33" s="45"/>
      <c r="S33" s="17"/>
    </row>
    <row r="34" spans="1:19" ht="15.75" x14ac:dyDescent="0.25">
      <c r="A34" s="168"/>
      <c r="B34" s="80" t="s">
        <v>52</v>
      </c>
      <c r="C34" s="81" t="s">
        <v>345</v>
      </c>
      <c r="D34" s="37">
        <v>42</v>
      </c>
      <c r="E34" s="37">
        <v>24</v>
      </c>
      <c r="F34" s="38"/>
      <c r="G34" s="39"/>
      <c r="H34" s="40"/>
      <c r="I34" s="41">
        <f t="shared" si="0"/>
        <v>0</v>
      </c>
      <c r="J34" s="42"/>
      <c r="K34" s="42"/>
      <c r="L34" s="41"/>
      <c r="M34" s="41">
        <f t="shared" si="1"/>
        <v>0</v>
      </c>
      <c r="N34" s="41">
        <f t="shared" si="2"/>
        <v>0</v>
      </c>
      <c r="O34" s="43">
        <f t="shared" si="3"/>
        <v>0</v>
      </c>
      <c r="P34" s="43">
        <f t="shared" si="4"/>
        <v>0</v>
      </c>
      <c r="Q34" s="44"/>
      <c r="R34" s="45"/>
      <c r="S34" s="17"/>
    </row>
    <row r="35" spans="1:19" ht="15.75" x14ac:dyDescent="0.25">
      <c r="A35" s="168"/>
      <c r="B35" s="80" t="s">
        <v>58</v>
      </c>
      <c r="C35" s="81" t="s">
        <v>59</v>
      </c>
      <c r="D35" s="37">
        <v>20</v>
      </c>
      <c r="E35" s="37">
        <v>26</v>
      </c>
      <c r="F35" s="38"/>
      <c r="G35" s="39"/>
      <c r="H35" s="40"/>
      <c r="I35" s="41">
        <f t="shared" si="0"/>
        <v>0</v>
      </c>
      <c r="J35" s="42"/>
      <c r="K35" s="42"/>
      <c r="L35" s="41"/>
      <c r="M35" s="41">
        <f t="shared" si="1"/>
        <v>0</v>
      </c>
      <c r="N35" s="41">
        <f t="shared" si="2"/>
        <v>0</v>
      </c>
      <c r="O35" s="43">
        <f t="shared" si="3"/>
        <v>0</v>
      </c>
      <c r="P35" s="43">
        <f t="shared" si="4"/>
        <v>0</v>
      </c>
      <c r="Q35" s="44"/>
      <c r="R35" s="45"/>
      <c r="S35" s="17"/>
    </row>
    <row r="36" spans="1:19" ht="15.75" x14ac:dyDescent="0.25">
      <c r="A36" s="169"/>
      <c r="B36" s="84" t="s">
        <v>56</v>
      </c>
      <c r="C36" s="85" t="s">
        <v>57</v>
      </c>
      <c r="D36" s="60">
        <v>42</v>
      </c>
      <c r="E36" s="60">
        <v>24</v>
      </c>
      <c r="F36" s="61"/>
      <c r="G36" s="62"/>
      <c r="H36" s="63"/>
      <c r="I36" s="41">
        <f t="shared" si="0"/>
        <v>0</v>
      </c>
      <c r="J36" s="64"/>
      <c r="K36" s="64"/>
      <c r="L36" s="65"/>
      <c r="M36" s="41">
        <f t="shared" si="1"/>
        <v>0</v>
      </c>
      <c r="N36" s="41">
        <f t="shared" si="2"/>
        <v>0</v>
      </c>
      <c r="O36" s="43">
        <f t="shared" si="3"/>
        <v>0</v>
      </c>
      <c r="P36" s="66">
        <f t="shared" si="4"/>
        <v>0</v>
      </c>
      <c r="Q36" s="67"/>
      <c r="R36" s="68"/>
      <c r="S36" s="17"/>
    </row>
    <row r="37" spans="1:19" ht="15.75" x14ac:dyDescent="0.25">
      <c r="A37" s="174" t="s">
        <v>346</v>
      </c>
      <c r="B37" s="86" t="s">
        <v>113</v>
      </c>
      <c r="C37" s="87" t="s">
        <v>347</v>
      </c>
      <c r="D37" s="88">
        <v>20</v>
      </c>
      <c r="E37" s="88">
        <v>20</v>
      </c>
      <c r="F37" s="89"/>
      <c r="G37" s="90"/>
      <c r="H37" s="91"/>
      <c r="I37" s="41">
        <f t="shared" si="0"/>
        <v>0</v>
      </c>
      <c r="J37" s="92"/>
      <c r="K37" s="92"/>
      <c r="L37" s="93">
        <f t="shared" ref="L37:L48" si="7">K37+J37</f>
        <v>0</v>
      </c>
      <c r="M37" s="41">
        <f t="shared" si="1"/>
        <v>0</v>
      </c>
      <c r="N37" s="41">
        <f t="shared" si="2"/>
        <v>0</v>
      </c>
      <c r="O37" s="43">
        <f t="shared" si="3"/>
        <v>0</v>
      </c>
      <c r="P37" s="94">
        <f t="shared" si="4"/>
        <v>0</v>
      </c>
      <c r="Q37" s="95"/>
      <c r="R37" s="96"/>
      <c r="S37" s="17"/>
    </row>
    <row r="38" spans="1:19" ht="15.75" x14ac:dyDescent="0.25">
      <c r="A38" s="175"/>
      <c r="B38" s="80" t="s">
        <v>116</v>
      </c>
      <c r="C38" s="81" t="s">
        <v>348</v>
      </c>
      <c r="D38" s="37">
        <v>30</v>
      </c>
      <c r="E38" s="37">
        <v>48</v>
      </c>
      <c r="F38" s="38"/>
      <c r="G38" s="39"/>
      <c r="H38" s="40"/>
      <c r="I38" s="41">
        <f t="shared" si="0"/>
        <v>0</v>
      </c>
      <c r="J38" s="42"/>
      <c r="K38" s="42"/>
      <c r="L38" s="41">
        <f t="shared" si="7"/>
        <v>0</v>
      </c>
      <c r="M38" s="41">
        <f t="shared" si="1"/>
        <v>0</v>
      </c>
      <c r="N38" s="41">
        <f t="shared" si="2"/>
        <v>0</v>
      </c>
      <c r="O38" s="43">
        <f t="shared" si="3"/>
        <v>0</v>
      </c>
      <c r="P38" s="43">
        <f t="shared" si="4"/>
        <v>0</v>
      </c>
      <c r="Q38" s="44"/>
      <c r="R38" s="97"/>
      <c r="S38" s="17"/>
    </row>
    <row r="39" spans="1:19" ht="15.75" x14ac:dyDescent="0.25">
      <c r="A39" s="175"/>
      <c r="B39" s="80" t="s">
        <v>123</v>
      </c>
      <c r="C39" s="81" t="s">
        <v>349</v>
      </c>
      <c r="D39" s="37">
        <v>20</v>
      </c>
      <c r="E39" s="37">
        <v>20</v>
      </c>
      <c r="F39" s="38"/>
      <c r="G39" s="39"/>
      <c r="H39" s="40"/>
      <c r="I39" s="41">
        <f t="shared" si="0"/>
        <v>0</v>
      </c>
      <c r="J39" s="42"/>
      <c r="K39" s="42"/>
      <c r="L39" s="41">
        <f t="shared" si="7"/>
        <v>0</v>
      </c>
      <c r="M39" s="41">
        <f t="shared" si="1"/>
        <v>0</v>
      </c>
      <c r="N39" s="41">
        <f t="shared" si="2"/>
        <v>0</v>
      </c>
      <c r="O39" s="43">
        <f t="shared" si="3"/>
        <v>0</v>
      </c>
      <c r="P39" s="43">
        <f t="shared" si="4"/>
        <v>0</v>
      </c>
      <c r="Q39" s="44"/>
      <c r="R39" s="97"/>
      <c r="S39" s="17"/>
    </row>
    <row r="40" spans="1:19" ht="15.75" x14ac:dyDescent="0.25">
      <c r="A40" s="175"/>
      <c r="B40" s="80" t="s">
        <v>119</v>
      </c>
      <c r="C40" s="81" t="s">
        <v>350</v>
      </c>
      <c r="D40" s="37">
        <v>30</v>
      </c>
      <c r="E40" s="37">
        <v>45</v>
      </c>
      <c r="F40" s="38"/>
      <c r="G40" s="39"/>
      <c r="H40" s="40"/>
      <c r="I40" s="41">
        <f t="shared" si="0"/>
        <v>0</v>
      </c>
      <c r="J40" s="42"/>
      <c r="K40" s="42"/>
      <c r="L40" s="41">
        <f t="shared" si="7"/>
        <v>0</v>
      </c>
      <c r="M40" s="41">
        <f t="shared" si="1"/>
        <v>0</v>
      </c>
      <c r="N40" s="41">
        <f t="shared" si="2"/>
        <v>0</v>
      </c>
      <c r="O40" s="43">
        <f t="shared" si="3"/>
        <v>0</v>
      </c>
      <c r="P40" s="43">
        <f t="shared" si="4"/>
        <v>0</v>
      </c>
      <c r="Q40" s="44"/>
      <c r="R40" s="97"/>
      <c r="S40" s="17"/>
    </row>
    <row r="41" spans="1:19" ht="15.75" x14ac:dyDescent="0.25">
      <c r="A41" s="175"/>
      <c r="B41" s="80" t="s">
        <v>147</v>
      </c>
      <c r="C41" s="81" t="s">
        <v>351</v>
      </c>
      <c r="D41" s="37">
        <v>20</v>
      </c>
      <c r="E41" s="37">
        <v>20</v>
      </c>
      <c r="F41" s="38">
        <v>9</v>
      </c>
      <c r="G41" s="39"/>
      <c r="H41" s="40"/>
      <c r="I41" s="41">
        <f t="shared" si="0"/>
        <v>180</v>
      </c>
      <c r="J41" s="42"/>
      <c r="K41" s="42"/>
      <c r="L41" s="41">
        <f t="shared" si="7"/>
        <v>0</v>
      </c>
      <c r="M41" s="41">
        <f t="shared" si="1"/>
        <v>3600</v>
      </c>
      <c r="N41" s="41">
        <f t="shared" si="2"/>
        <v>0</v>
      </c>
      <c r="O41" s="43">
        <f t="shared" si="3"/>
        <v>3600</v>
      </c>
      <c r="P41" s="43">
        <f t="shared" si="4"/>
        <v>-3600</v>
      </c>
      <c r="Q41" s="44"/>
      <c r="R41" s="97"/>
      <c r="S41" s="17"/>
    </row>
    <row r="42" spans="1:19" ht="15.75" x14ac:dyDescent="0.25">
      <c r="A42" s="175"/>
      <c r="B42" s="80" t="s">
        <v>150</v>
      </c>
      <c r="C42" s="81" t="s">
        <v>352</v>
      </c>
      <c r="D42" s="37">
        <v>30</v>
      </c>
      <c r="E42" s="37">
        <v>48</v>
      </c>
      <c r="F42" s="38">
        <v>2</v>
      </c>
      <c r="G42" s="39"/>
      <c r="H42" s="40"/>
      <c r="I42" s="41">
        <f t="shared" si="0"/>
        <v>60</v>
      </c>
      <c r="J42" s="42"/>
      <c r="K42" s="42"/>
      <c r="L42" s="41">
        <f t="shared" si="7"/>
        <v>0</v>
      </c>
      <c r="M42" s="41">
        <f t="shared" si="1"/>
        <v>2880</v>
      </c>
      <c r="N42" s="41">
        <f t="shared" si="2"/>
        <v>0</v>
      </c>
      <c r="O42" s="43">
        <f t="shared" si="3"/>
        <v>2880</v>
      </c>
      <c r="P42" s="43">
        <f t="shared" si="4"/>
        <v>-2880</v>
      </c>
      <c r="Q42" s="44"/>
      <c r="R42" s="97"/>
      <c r="S42" s="17"/>
    </row>
    <row r="43" spans="1:19" ht="15.75" x14ac:dyDescent="0.25">
      <c r="A43" s="175"/>
      <c r="B43" s="80" t="s">
        <v>129</v>
      </c>
      <c r="C43" s="81" t="s">
        <v>353</v>
      </c>
      <c r="D43" s="37">
        <v>20</v>
      </c>
      <c r="E43" s="37">
        <v>20</v>
      </c>
      <c r="F43" s="38"/>
      <c r="G43" s="39"/>
      <c r="H43" s="40"/>
      <c r="I43" s="41">
        <f t="shared" si="0"/>
        <v>0</v>
      </c>
      <c r="J43" s="42"/>
      <c r="K43" s="42"/>
      <c r="L43" s="41">
        <f t="shared" si="7"/>
        <v>0</v>
      </c>
      <c r="M43" s="41">
        <f t="shared" si="1"/>
        <v>0</v>
      </c>
      <c r="N43" s="41">
        <f t="shared" si="2"/>
        <v>0</v>
      </c>
      <c r="O43" s="43">
        <f t="shared" si="3"/>
        <v>0</v>
      </c>
      <c r="P43" s="43">
        <f t="shared" si="4"/>
        <v>0</v>
      </c>
      <c r="Q43" s="44"/>
      <c r="R43" s="97"/>
      <c r="S43" s="17"/>
    </row>
    <row r="44" spans="1:19" ht="15.75" x14ac:dyDescent="0.25">
      <c r="A44" s="175"/>
      <c r="B44" s="80" t="s">
        <v>126</v>
      </c>
      <c r="C44" s="81" t="s">
        <v>354</v>
      </c>
      <c r="D44" s="37">
        <v>30</v>
      </c>
      <c r="E44" s="37">
        <v>45</v>
      </c>
      <c r="F44" s="38"/>
      <c r="G44" s="39"/>
      <c r="H44" s="40"/>
      <c r="I44" s="41">
        <f t="shared" si="0"/>
        <v>0</v>
      </c>
      <c r="J44" s="42"/>
      <c r="K44" s="42"/>
      <c r="L44" s="41">
        <f t="shared" si="7"/>
        <v>0</v>
      </c>
      <c r="M44" s="41">
        <f t="shared" si="1"/>
        <v>0</v>
      </c>
      <c r="N44" s="41">
        <f t="shared" si="2"/>
        <v>0</v>
      </c>
      <c r="O44" s="43">
        <f t="shared" si="3"/>
        <v>0</v>
      </c>
      <c r="P44" s="43">
        <f t="shared" si="4"/>
        <v>0</v>
      </c>
      <c r="Q44" s="44"/>
      <c r="R44" s="97"/>
      <c r="S44" s="17"/>
    </row>
    <row r="45" spans="1:19" ht="15.75" x14ac:dyDescent="0.25">
      <c r="A45" s="175"/>
      <c r="B45" s="80" t="s">
        <v>96</v>
      </c>
      <c r="C45" s="81" t="s">
        <v>355</v>
      </c>
      <c r="D45" s="37">
        <v>20</v>
      </c>
      <c r="E45" s="37">
        <v>20</v>
      </c>
      <c r="F45" s="38"/>
      <c r="G45" s="39"/>
      <c r="H45" s="40"/>
      <c r="I45" s="41">
        <f t="shared" si="0"/>
        <v>0</v>
      </c>
      <c r="J45" s="42"/>
      <c r="K45" s="42"/>
      <c r="L45" s="41">
        <f t="shared" si="7"/>
        <v>0</v>
      </c>
      <c r="M45" s="41">
        <f t="shared" si="1"/>
        <v>0</v>
      </c>
      <c r="N45" s="41">
        <f t="shared" si="2"/>
        <v>0</v>
      </c>
      <c r="O45" s="43">
        <f t="shared" si="3"/>
        <v>0</v>
      </c>
      <c r="P45" s="43">
        <f t="shared" si="4"/>
        <v>0</v>
      </c>
      <c r="Q45" s="44"/>
      <c r="R45" s="97"/>
      <c r="S45" s="17"/>
    </row>
    <row r="46" spans="1:19" ht="15.75" x14ac:dyDescent="0.25">
      <c r="A46" s="175"/>
      <c r="B46" s="80" t="s">
        <v>94</v>
      </c>
      <c r="C46" s="81" t="s">
        <v>356</v>
      </c>
      <c r="D46" s="37">
        <v>30</v>
      </c>
      <c r="E46" s="37">
        <v>48</v>
      </c>
      <c r="F46" s="38">
        <v>1</v>
      </c>
      <c r="G46" s="39"/>
      <c r="H46" s="40"/>
      <c r="I46" s="41">
        <f t="shared" si="0"/>
        <v>30</v>
      </c>
      <c r="J46" s="42"/>
      <c r="K46" s="42"/>
      <c r="L46" s="41">
        <f t="shared" si="7"/>
        <v>0</v>
      </c>
      <c r="M46" s="41">
        <f t="shared" si="1"/>
        <v>1440</v>
      </c>
      <c r="N46" s="41">
        <f t="shared" si="2"/>
        <v>0</v>
      </c>
      <c r="O46" s="43">
        <f t="shared" si="3"/>
        <v>1440</v>
      </c>
      <c r="P46" s="43">
        <f t="shared" si="4"/>
        <v>-1440</v>
      </c>
      <c r="Q46" s="44"/>
      <c r="R46" s="97"/>
      <c r="S46" s="17"/>
    </row>
    <row r="47" spans="1:19" ht="15.75" x14ac:dyDescent="0.25">
      <c r="A47" s="175"/>
      <c r="B47" s="80" t="s">
        <v>90</v>
      </c>
      <c r="C47" s="81" t="s">
        <v>357</v>
      </c>
      <c r="D47" s="37">
        <v>20</v>
      </c>
      <c r="E47" s="37">
        <v>20</v>
      </c>
      <c r="F47" s="38">
        <v>16</v>
      </c>
      <c r="G47" s="39"/>
      <c r="H47" s="40"/>
      <c r="I47" s="41">
        <f t="shared" si="0"/>
        <v>320</v>
      </c>
      <c r="J47" s="42"/>
      <c r="K47" s="42"/>
      <c r="L47" s="41">
        <f t="shared" si="7"/>
        <v>0</v>
      </c>
      <c r="M47" s="41">
        <f t="shared" si="1"/>
        <v>6400</v>
      </c>
      <c r="N47" s="41">
        <f t="shared" si="2"/>
        <v>0</v>
      </c>
      <c r="O47" s="43">
        <f t="shared" si="3"/>
        <v>6400</v>
      </c>
      <c r="P47" s="43">
        <f t="shared" si="4"/>
        <v>-6400</v>
      </c>
      <c r="Q47" s="44"/>
      <c r="R47" s="97"/>
      <c r="S47" s="17"/>
    </row>
    <row r="48" spans="1:19" ht="15.75" x14ac:dyDescent="0.25">
      <c r="A48" s="175"/>
      <c r="B48" s="80" t="s">
        <v>86</v>
      </c>
      <c r="C48" s="81" t="s">
        <v>358</v>
      </c>
      <c r="D48" s="37">
        <v>30</v>
      </c>
      <c r="E48" s="37">
        <v>48</v>
      </c>
      <c r="F48" s="38">
        <v>3</v>
      </c>
      <c r="G48" s="39"/>
      <c r="H48" s="40"/>
      <c r="I48" s="41">
        <f t="shared" si="0"/>
        <v>90</v>
      </c>
      <c r="J48" s="42"/>
      <c r="K48" s="42"/>
      <c r="L48" s="41">
        <f t="shared" si="7"/>
        <v>0</v>
      </c>
      <c r="M48" s="41">
        <f t="shared" si="1"/>
        <v>4320</v>
      </c>
      <c r="N48" s="41">
        <f t="shared" si="2"/>
        <v>0</v>
      </c>
      <c r="O48" s="43">
        <f t="shared" si="3"/>
        <v>4320</v>
      </c>
      <c r="P48" s="43">
        <f t="shared" si="4"/>
        <v>-4320</v>
      </c>
      <c r="Q48" s="44"/>
      <c r="R48" s="97"/>
      <c r="S48" s="17"/>
    </row>
    <row r="49" spans="1:19" ht="15.75" x14ac:dyDescent="0.25">
      <c r="A49" s="175"/>
      <c r="B49" s="80" t="s">
        <v>138</v>
      </c>
      <c r="C49" s="81" t="s">
        <v>359</v>
      </c>
      <c r="D49" s="37">
        <v>20</v>
      </c>
      <c r="E49" s="37">
        <v>20</v>
      </c>
      <c r="F49" s="38"/>
      <c r="G49" s="39"/>
      <c r="H49" s="40"/>
      <c r="I49" s="41">
        <f t="shared" si="0"/>
        <v>0</v>
      </c>
      <c r="J49" s="42"/>
      <c r="K49" s="41">
        <f>(H49*F49)+(J49*F49)+I49</f>
        <v>0</v>
      </c>
      <c r="L49" s="41">
        <f>(I49*G49)+(K49*G49)+J49</f>
        <v>0</v>
      </c>
      <c r="M49" s="41">
        <f t="shared" si="1"/>
        <v>0</v>
      </c>
      <c r="N49" s="41">
        <f t="shared" si="2"/>
        <v>0</v>
      </c>
      <c r="O49" s="43">
        <f t="shared" si="3"/>
        <v>0</v>
      </c>
      <c r="P49" s="43">
        <f t="shared" si="4"/>
        <v>0</v>
      </c>
      <c r="Q49" s="44"/>
      <c r="R49" s="97"/>
      <c r="S49" s="17"/>
    </row>
    <row r="50" spans="1:19" ht="15.75" x14ac:dyDescent="0.25">
      <c r="A50" s="175"/>
      <c r="B50" s="80" t="s">
        <v>135</v>
      </c>
      <c r="C50" s="81" t="s">
        <v>360</v>
      </c>
      <c r="D50" s="37">
        <v>30</v>
      </c>
      <c r="E50" s="37">
        <v>45</v>
      </c>
      <c r="F50" s="38"/>
      <c r="G50" s="39"/>
      <c r="H50" s="40"/>
      <c r="I50" s="41">
        <f t="shared" si="0"/>
        <v>0</v>
      </c>
      <c r="J50" s="42"/>
      <c r="K50" s="42"/>
      <c r="L50" s="41">
        <f t="shared" ref="L50:L58" si="8">K50+J50</f>
        <v>0</v>
      </c>
      <c r="M50" s="41">
        <f t="shared" si="1"/>
        <v>0</v>
      </c>
      <c r="N50" s="41">
        <f t="shared" si="2"/>
        <v>0</v>
      </c>
      <c r="O50" s="43">
        <f t="shared" si="3"/>
        <v>0</v>
      </c>
      <c r="P50" s="43">
        <f t="shared" si="4"/>
        <v>0</v>
      </c>
      <c r="Q50" s="44"/>
      <c r="R50" s="97"/>
      <c r="S50" s="17"/>
    </row>
    <row r="51" spans="1:19" ht="15.75" x14ac:dyDescent="0.25">
      <c r="A51" s="175"/>
      <c r="B51" s="80" t="s">
        <v>141</v>
      </c>
      <c r="C51" s="81" t="s">
        <v>361</v>
      </c>
      <c r="D51" s="37">
        <v>20</v>
      </c>
      <c r="E51" s="37">
        <v>20</v>
      </c>
      <c r="F51" s="38"/>
      <c r="G51" s="39"/>
      <c r="H51" s="40"/>
      <c r="I51" s="41">
        <f t="shared" si="0"/>
        <v>0</v>
      </c>
      <c r="J51" s="42"/>
      <c r="K51" s="42"/>
      <c r="L51" s="41">
        <f t="shared" si="8"/>
        <v>0</v>
      </c>
      <c r="M51" s="41">
        <f t="shared" si="1"/>
        <v>0</v>
      </c>
      <c r="N51" s="41">
        <f t="shared" si="2"/>
        <v>0</v>
      </c>
      <c r="O51" s="43">
        <f t="shared" si="3"/>
        <v>0</v>
      </c>
      <c r="P51" s="43">
        <f t="shared" si="4"/>
        <v>0</v>
      </c>
      <c r="Q51" s="44"/>
      <c r="R51" s="97"/>
      <c r="S51" s="17"/>
    </row>
    <row r="52" spans="1:19" ht="15.75" x14ac:dyDescent="0.25">
      <c r="A52" s="175"/>
      <c r="B52" s="80" t="s">
        <v>144</v>
      </c>
      <c r="C52" s="81" t="s">
        <v>362</v>
      </c>
      <c r="D52" s="37">
        <v>20</v>
      </c>
      <c r="E52" s="37">
        <v>20</v>
      </c>
      <c r="F52" s="38"/>
      <c r="G52" s="39"/>
      <c r="H52" s="40"/>
      <c r="I52" s="41">
        <f t="shared" si="0"/>
        <v>0</v>
      </c>
      <c r="J52" s="42"/>
      <c r="K52" s="42"/>
      <c r="L52" s="41">
        <f t="shared" si="8"/>
        <v>0</v>
      </c>
      <c r="M52" s="41">
        <f t="shared" si="1"/>
        <v>0</v>
      </c>
      <c r="N52" s="41">
        <f t="shared" si="2"/>
        <v>0</v>
      </c>
      <c r="O52" s="43">
        <f t="shared" si="3"/>
        <v>0</v>
      </c>
      <c r="P52" s="43">
        <f t="shared" si="4"/>
        <v>0</v>
      </c>
      <c r="Q52" s="44"/>
      <c r="R52" s="97"/>
      <c r="S52" s="17"/>
    </row>
    <row r="53" spans="1:19" ht="15.75" x14ac:dyDescent="0.25">
      <c r="A53" s="175"/>
      <c r="B53" s="80" t="s">
        <v>132</v>
      </c>
      <c r="C53" s="81" t="s">
        <v>363</v>
      </c>
      <c r="D53" s="37">
        <v>20</v>
      </c>
      <c r="E53" s="37">
        <v>20</v>
      </c>
      <c r="F53" s="38">
        <v>3</v>
      </c>
      <c r="G53" s="39"/>
      <c r="H53" s="40"/>
      <c r="I53" s="41">
        <f t="shared" si="0"/>
        <v>60</v>
      </c>
      <c r="J53" s="42"/>
      <c r="K53" s="42"/>
      <c r="L53" s="41">
        <f t="shared" si="8"/>
        <v>0</v>
      </c>
      <c r="M53" s="41">
        <f t="shared" si="1"/>
        <v>1200</v>
      </c>
      <c r="N53" s="41">
        <f t="shared" si="2"/>
        <v>0</v>
      </c>
      <c r="O53" s="43">
        <f t="shared" si="3"/>
        <v>1200</v>
      </c>
      <c r="P53" s="43">
        <f t="shared" si="4"/>
        <v>-1200</v>
      </c>
      <c r="Q53" s="44"/>
      <c r="R53" s="97"/>
      <c r="S53" s="17"/>
    </row>
    <row r="54" spans="1:19" ht="15.75" x14ac:dyDescent="0.25">
      <c r="A54" s="175"/>
      <c r="B54" s="80" t="s">
        <v>110</v>
      </c>
      <c r="C54" s="81" t="s">
        <v>364</v>
      </c>
      <c r="D54" s="37">
        <v>20</v>
      </c>
      <c r="E54" s="37">
        <v>20</v>
      </c>
      <c r="F54" s="38"/>
      <c r="G54" s="39"/>
      <c r="H54" s="40"/>
      <c r="I54" s="41">
        <f t="shared" si="0"/>
        <v>0</v>
      </c>
      <c r="J54" s="42"/>
      <c r="K54" s="42"/>
      <c r="L54" s="41">
        <f t="shared" si="8"/>
        <v>0</v>
      </c>
      <c r="M54" s="41">
        <f t="shared" si="1"/>
        <v>0</v>
      </c>
      <c r="N54" s="41">
        <f t="shared" si="2"/>
        <v>0</v>
      </c>
      <c r="O54" s="43">
        <f t="shared" si="3"/>
        <v>0</v>
      </c>
      <c r="P54" s="43">
        <f t="shared" si="4"/>
        <v>0</v>
      </c>
      <c r="Q54" s="44"/>
      <c r="R54" s="97"/>
      <c r="S54" s="17"/>
    </row>
    <row r="55" spans="1:19" ht="15.75" x14ac:dyDescent="0.25">
      <c r="A55" s="175"/>
      <c r="B55" s="80" t="s">
        <v>106</v>
      </c>
      <c r="C55" s="81" t="s">
        <v>365</v>
      </c>
      <c r="D55" s="37">
        <v>20</v>
      </c>
      <c r="E55" s="37">
        <v>20</v>
      </c>
      <c r="F55" s="38"/>
      <c r="G55" s="39"/>
      <c r="H55" s="40"/>
      <c r="I55" s="41">
        <f t="shared" si="0"/>
        <v>0</v>
      </c>
      <c r="J55" s="42"/>
      <c r="K55" s="42"/>
      <c r="L55" s="41">
        <f t="shared" si="8"/>
        <v>0</v>
      </c>
      <c r="M55" s="41">
        <f t="shared" si="1"/>
        <v>0</v>
      </c>
      <c r="N55" s="41">
        <f t="shared" si="2"/>
        <v>0</v>
      </c>
      <c r="O55" s="43">
        <f t="shared" si="3"/>
        <v>0</v>
      </c>
      <c r="P55" s="43">
        <f t="shared" si="4"/>
        <v>0</v>
      </c>
      <c r="Q55" s="44"/>
      <c r="R55" s="97"/>
      <c r="S55" s="17"/>
    </row>
    <row r="56" spans="1:19" ht="15.75" x14ac:dyDescent="0.25">
      <c r="A56" s="175"/>
      <c r="B56" s="80" t="s">
        <v>103</v>
      </c>
      <c r="C56" s="81" t="s">
        <v>366</v>
      </c>
      <c r="D56" s="37">
        <v>20</v>
      </c>
      <c r="E56" s="37">
        <v>20</v>
      </c>
      <c r="F56" s="38"/>
      <c r="G56" s="39"/>
      <c r="H56" s="40"/>
      <c r="I56" s="41">
        <f t="shared" si="0"/>
        <v>0</v>
      </c>
      <c r="J56" s="42"/>
      <c r="K56" s="42"/>
      <c r="L56" s="41">
        <f t="shared" si="8"/>
        <v>0</v>
      </c>
      <c r="M56" s="41">
        <f t="shared" si="1"/>
        <v>0</v>
      </c>
      <c r="N56" s="41">
        <f t="shared" si="2"/>
        <v>0</v>
      </c>
      <c r="O56" s="43">
        <f t="shared" si="3"/>
        <v>0</v>
      </c>
      <c r="P56" s="43">
        <f t="shared" si="4"/>
        <v>0</v>
      </c>
      <c r="Q56" s="44"/>
      <c r="R56" s="97"/>
      <c r="S56" s="17"/>
    </row>
    <row r="57" spans="1:19" ht="15.75" x14ac:dyDescent="0.25">
      <c r="A57" s="175"/>
      <c r="B57" s="80" t="s">
        <v>100</v>
      </c>
      <c r="C57" s="81" t="s">
        <v>367</v>
      </c>
      <c r="D57" s="37">
        <v>30</v>
      </c>
      <c r="E57" s="37">
        <v>48</v>
      </c>
      <c r="F57" s="38"/>
      <c r="G57" s="39"/>
      <c r="H57" s="40"/>
      <c r="I57" s="41">
        <f t="shared" si="0"/>
        <v>0</v>
      </c>
      <c r="J57" s="42"/>
      <c r="K57" s="42"/>
      <c r="L57" s="41">
        <f t="shared" si="8"/>
        <v>0</v>
      </c>
      <c r="M57" s="41">
        <f t="shared" si="1"/>
        <v>0</v>
      </c>
      <c r="N57" s="41">
        <f t="shared" si="2"/>
        <v>0</v>
      </c>
      <c r="O57" s="43">
        <f t="shared" si="3"/>
        <v>0</v>
      </c>
      <c r="P57" s="43">
        <f t="shared" si="4"/>
        <v>0</v>
      </c>
      <c r="Q57" s="44"/>
      <c r="R57" s="97"/>
      <c r="S57" s="17"/>
    </row>
    <row r="58" spans="1:19" ht="15.75" x14ac:dyDescent="0.25">
      <c r="A58" s="175"/>
      <c r="B58" s="80" t="s">
        <v>153</v>
      </c>
      <c r="C58" s="81" t="s">
        <v>368</v>
      </c>
      <c r="D58" s="37">
        <v>20</v>
      </c>
      <c r="E58" s="37">
        <v>20</v>
      </c>
      <c r="F58" s="38">
        <v>11</v>
      </c>
      <c r="G58" s="39"/>
      <c r="H58" s="40"/>
      <c r="I58" s="41">
        <f t="shared" si="0"/>
        <v>220</v>
      </c>
      <c r="J58" s="42"/>
      <c r="K58" s="42"/>
      <c r="L58" s="41">
        <f t="shared" si="8"/>
        <v>0</v>
      </c>
      <c r="M58" s="41">
        <f t="shared" si="1"/>
        <v>4400</v>
      </c>
      <c r="N58" s="41">
        <f t="shared" si="2"/>
        <v>0</v>
      </c>
      <c r="O58" s="43">
        <f t="shared" si="3"/>
        <v>4400</v>
      </c>
      <c r="P58" s="43">
        <f t="shared" si="4"/>
        <v>-4400</v>
      </c>
      <c r="Q58" s="44"/>
      <c r="R58" s="97"/>
      <c r="S58" s="17"/>
    </row>
    <row r="59" spans="1:19" ht="15.75" x14ac:dyDescent="0.25">
      <c r="A59" s="175"/>
      <c r="B59" s="80" t="s">
        <v>156</v>
      </c>
      <c r="C59" s="81" t="s">
        <v>369</v>
      </c>
      <c r="D59" s="37">
        <v>30</v>
      </c>
      <c r="E59" s="37">
        <v>48</v>
      </c>
      <c r="F59" s="38">
        <v>3</v>
      </c>
      <c r="G59" s="39"/>
      <c r="H59" s="40"/>
      <c r="I59" s="41">
        <f t="shared" si="0"/>
        <v>90</v>
      </c>
      <c r="J59" s="42"/>
      <c r="K59" s="42"/>
      <c r="L59" s="41"/>
      <c r="M59" s="41">
        <f t="shared" si="1"/>
        <v>4320</v>
      </c>
      <c r="N59" s="41">
        <f t="shared" si="2"/>
        <v>0</v>
      </c>
      <c r="O59" s="43">
        <f t="shared" si="3"/>
        <v>4320</v>
      </c>
      <c r="P59" s="43">
        <f t="shared" si="4"/>
        <v>-4320</v>
      </c>
      <c r="Q59" s="44"/>
      <c r="R59" s="97"/>
      <c r="S59" s="17"/>
    </row>
    <row r="60" spans="1:19" ht="15.75" x14ac:dyDescent="0.25">
      <c r="A60" s="175"/>
      <c r="B60" s="80" t="s">
        <v>159</v>
      </c>
      <c r="C60" s="81" t="s">
        <v>370</v>
      </c>
      <c r="D60" s="37">
        <v>20</v>
      </c>
      <c r="E60" s="37">
        <v>20</v>
      </c>
      <c r="F60" s="38">
        <v>22</v>
      </c>
      <c r="G60" s="39"/>
      <c r="H60" s="40"/>
      <c r="I60" s="41">
        <f t="shared" si="0"/>
        <v>440</v>
      </c>
      <c r="J60" s="42"/>
      <c r="K60" s="42"/>
      <c r="L60" s="41">
        <f>K60+J60</f>
        <v>0</v>
      </c>
      <c r="M60" s="41">
        <f t="shared" si="1"/>
        <v>8800</v>
      </c>
      <c r="N60" s="41">
        <f t="shared" si="2"/>
        <v>0</v>
      </c>
      <c r="O60" s="43">
        <f t="shared" si="3"/>
        <v>8800</v>
      </c>
      <c r="P60" s="43">
        <f t="shared" si="4"/>
        <v>-8800</v>
      </c>
      <c r="Q60" s="44"/>
      <c r="R60" s="97"/>
      <c r="S60" s="17"/>
    </row>
    <row r="61" spans="1:19" ht="15.75" x14ac:dyDescent="0.25">
      <c r="A61" s="175"/>
      <c r="B61" s="80" t="s">
        <v>163</v>
      </c>
      <c r="C61" s="81" t="s">
        <v>371</v>
      </c>
      <c r="D61" s="37">
        <v>30</v>
      </c>
      <c r="E61" s="37">
        <v>48</v>
      </c>
      <c r="F61" s="38">
        <v>6</v>
      </c>
      <c r="G61" s="39"/>
      <c r="H61" s="40"/>
      <c r="I61" s="41">
        <f t="shared" si="0"/>
        <v>180</v>
      </c>
      <c r="J61" s="42"/>
      <c r="K61" s="42"/>
      <c r="L61" s="41"/>
      <c r="M61" s="41">
        <f t="shared" si="1"/>
        <v>8640</v>
      </c>
      <c r="N61" s="41">
        <f t="shared" si="2"/>
        <v>0</v>
      </c>
      <c r="O61" s="43">
        <f t="shared" si="3"/>
        <v>8640</v>
      </c>
      <c r="P61" s="43">
        <f t="shared" si="4"/>
        <v>-8640</v>
      </c>
      <c r="Q61" s="44"/>
      <c r="R61" s="97"/>
      <c r="S61" s="17"/>
    </row>
    <row r="62" spans="1:19" ht="15.75" x14ac:dyDescent="0.25">
      <c r="A62" s="175"/>
      <c r="B62" s="80" t="s">
        <v>165</v>
      </c>
      <c r="C62" s="81" t="s">
        <v>372</v>
      </c>
      <c r="D62" s="37">
        <v>20</v>
      </c>
      <c r="E62" s="37">
        <v>20</v>
      </c>
      <c r="F62" s="38"/>
      <c r="G62" s="39"/>
      <c r="H62" s="40"/>
      <c r="I62" s="41">
        <f t="shared" si="0"/>
        <v>0</v>
      </c>
      <c r="J62" s="42"/>
      <c r="K62" s="42"/>
      <c r="L62" s="41"/>
      <c r="M62" s="41">
        <f t="shared" si="1"/>
        <v>0</v>
      </c>
      <c r="N62" s="41">
        <f t="shared" si="2"/>
        <v>0</v>
      </c>
      <c r="O62" s="43">
        <f t="shared" si="3"/>
        <v>0</v>
      </c>
      <c r="P62" s="43">
        <f t="shared" si="4"/>
        <v>0</v>
      </c>
      <c r="Q62" s="44"/>
      <c r="R62" s="97"/>
      <c r="S62" s="17"/>
    </row>
    <row r="63" spans="1:19" ht="15.75" x14ac:dyDescent="0.25">
      <c r="A63" s="176"/>
      <c r="B63" s="99" t="s">
        <v>168</v>
      </c>
      <c r="C63" s="100" t="s">
        <v>373</v>
      </c>
      <c r="D63" s="101">
        <v>30</v>
      </c>
      <c r="E63" s="101">
        <v>48</v>
      </c>
      <c r="F63" s="102"/>
      <c r="G63" s="103"/>
      <c r="H63" s="104"/>
      <c r="I63" s="41">
        <f t="shared" si="0"/>
        <v>0</v>
      </c>
      <c r="J63" s="105"/>
      <c r="K63" s="105"/>
      <c r="L63" s="106">
        <f t="shared" ref="L63:L90" si="9">K63+J63</f>
        <v>0</v>
      </c>
      <c r="M63" s="41">
        <f t="shared" si="1"/>
        <v>0</v>
      </c>
      <c r="N63" s="41">
        <f t="shared" si="2"/>
        <v>0</v>
      </c>
      <c r="O63" s="43">
        <f t="shared" si="3"/>
        <v>0</v>
      </c>
      <c r="P63" s="107">
        <f t="shared" si="4"/>
        <v>0</v>
      </c>
      <c r="Q63" s="108"/>
      <c r="R63" s="109"/>
      <c r="S63" s="17"/>
    </row>
    <row r="64" spans="1:19" ht="15.75" x14ac:dyDescent="0.25">
      <c r="A64" s="167" t="s">
        <v>374</v>
      </c>
      <c r="B64" s="69" t="s">
        <v>170</v>
      </c>
      <c r="C64" s="70" t="s">
        <v>375</v>
      </c>
      <c r="D64" s="71">
        <v>48</v>
      </c>
      <c r="E64" s="71">
        <v>14</v>
      </c>
      <c r="F64" s="72"/>
      <c r="G64" s="73"/>
      <c r="H64" s="74"/>
      <c r="I64" s="41">
        <f t="shared" si="0"/>
        <v>0</v>
      </c>
      <c r="J64" s="75"/>
      <c r="K64" s="75"/>
      <c r="L64" s="76">
        <f t="shared" si="9"/>
        <v>0</v>
      </c>
      <c r="M64" s="41">
        <f t="shared" si="1"/>
        <v>0</v>
      </c>
      <c r="N64" s="41">
        <f t="shared" si="2"/>
        <v>0</v>
      </c>
      <c r="O64" s="43">
        <f t="shared" si="3"/>
        <v>0</v>
      </c>
      <c r="P64" s="77">
        <f t="shared" si="4"/>
        <v>0</v>
      </c>
      <c r="Q64" s="78"/>
      <c r="R64" s="79"/>
      <c r="S64" s="17"/>
    </row>
    <row r="65" spans="1:19" ht="15.75" x14ac:dyDescent="0.25">
      <c r="A65" s="168"/>
      <c r="B65" s="80" t="s">
        <v>176</v>
      </c>
      <c r="C65" s="81" t="s">
        <v>376</v>
      </c>
      <c r="D65" s="37">
        <v>32</v>
      </c>
      <c r="E65" s="37">
        <v>14</v>
      </c>
      <c r="F65" s="38">
        <v>2</v>
      </c>
      <c r="G65" s="39"/>
      <c r="H65" s="40"/>
      <c r="I65" s="41">
        <f t="shared" si="0"/>
        <v>64</v>
      </c>
      <c r="J65" s="42"/>
      <c r="K65" s="42"/>
      <c r="L65" s="41">
        <f t="shared" si="9"/>
        <v>0</v>
      </c>
      <c r="M65" s="41">
        <f t="shared" si="1"/>
        <v>896</v>
      </c>
      <c r="N65" s="41">
        <f t="shared" si="2"/>
        <v>0</v>
      </c>
      <c r="O65" s="43">
        <f t="shared" si="3"/>
        <v>896</v>
      </c>
      <c r="P65" s="43">
        <f t="shared" si="4"/>
        <v>-896</v>
      </c>
      <c r="Q65" s="44"/>
      <c r="R65" s="45"/>
      <c r="S65" s="17"/>
    </row>
    <row r="66" spans="1:19" ht="15.75" x14ac:dyDescent="0.25">
      <c r="A66" s="168"/>
      <c r="B66" s="80" t="s">
        <v>173</v>
      </c>
      <c r="C66" s="81" t="s">
        <v>377</v>
      </c>
      <c r="D66" s="37">
        <v>32</v>
      </c>
      <c r="E66" s="37">
        <v>14</v>
      </c>
      <c r="F66" s="38">
        <v>19</v>
      </c>
      <c r="G66" s="39"/>
      <c r="H66" s="40"/>
      <c r="I66" s="41">
        <f t="shared" si="0"/>
        <v>608</v>
      </c>
      <c r="J66" s="42"/>
      <c r="K66" s="42"/>
      <c r="L66" s="41">
        <f t="shared" si="9"/>
        <v>0</v>
      </c>
      <c r="M66" s="41">
        <f t="shared" si="1"/>
        <v>8512</v>
      </c>
      <c r="N66" s="41">
        <f t="shared" si="2"/>
        <v>0</v>
      </c>
      <c r="O66" s="43">
        <f t="shared" si="3"/>
        <v>8512</v>
      </c>
      <c r="P66" s="43">
        <f t="shared" si="4"/>
        <v>-8512</v>
      </c>
      <c r="Q66" s="44"/>
      <c r="R66" s="45"/>
      <c r="S66" s="17"/>
    </row>
    <row r="67" spans="1:19" ht="15.75" x14ac:dyDescent="0.25">
      <c r="A67" s="168"/>
      <c r="B67" s="80" t="s">
        <v>181</v>
      </c>
      <c r="C67" s="81" t="s">
        <v>378</v>
      </c>
      <c r="D67" s="37">
        <v>48</v>
      </c>
      <c r="E67" s="37">
        <v>24</v>
      </c>
      <c r="F67" s="38"/>
      <c r="G67" s="39"/>
      <c r="H67" s="40"/>
      <c r="I67" s="41">
        <f t="shared" si="0"/>
        <v>0</v>
      </c>
      <c r="J67" s="42"/>
      <c r="K67" s="42"/>
      <c r="L67" s="41">
        <f t="shared" si="9"/>
        <v>0</v>
      </c>
      <c r="M67" s="41">
        <f t="shared" si="1"/>
        <v>0</v>
      </c>
      <c r="N67" s="41">
        <f t="shared" si="2"/>
        <v>0</v>
      </c>
      <c r="O67" s="43">
        <f t="shared" si="3"/>
        <v>0</v>
      </c>
      <c r="P67" s="43">
        <f t="shared" si="4"/>
        <v>0</v>
      </c>
      <c r="Q67" s="44"/>
      <c r="R67" s="45"/>
      <c r="S67" s="17"/>
    </row>
    <row r="68" spans="1:19" ht="15.75" x14ac:dyDescent="0.25">
      <c r="A68" s="168"/>
      <c r="B68" s="80" t="s">
        <v>179</v>
      </c>
      <c r="C68" s="81" t="s">
        <v>379</v>
      </c>
      <c r="D68" s="37">
        <v>32</v>
      </c>
      <c r="E68" s="37">
        <v>14</v>
      </c>
      <c r="F68" s="38">
        <v>2</v>
      </c>
      <c r="G68" s="39"/>
      <c r="H68" s="40"/>
      <c r="I68" s="41">
        <f t="shared" ref="I68:I121" si="10">(F68*D68)+G68-H68</f>
        <v>64</v>
      </c>
      <c r="J68" s="42"/>
      <c r="K68" s="42"/>
      <c r="L68" s="41">
        <f t="shared" si="9"/>
        <v>0</v>
      </c>
      <c r="M68" s="41">
        <f t="shared" ref="M68:M121" si="11">I68*E68</f>
        <v>896</v>
      </c>
      <c r="N68" s="41">
        <f t="shared" ref="N68:N121" si="12">L68*E68</f>
        <v>0</v>
      </c>
      <c r="O68" s="43">
        <f t="shared" ref="O68:O121" si="13">SUM(M68:N68)</f>
        <v>896</v>
      </c>
      <c r="P68" s="43">
        <f t="shared" ref="P68:P90" si="14">+Q68-O68</f>
        <v>-896</v>
      </c>
      <c r="Q68" s="44"/>
      <c r="R68" s="45"/>
      <c r="S68" s="17"/>
    </row>
    <row r="69" spans="1:19" ht="15.75" x14ac:dyDescent="0.25">
      <c r="A69" s="168"/>
      <c r="B69" s="80" t="s">
        <v>188</v>
      </c>
      <c r="C69" s="81" t="s">
        <v>380</v>
      </c>
      <c r="D69" s="37">
        <v>48</v>
      </c>
      <c r="E69" s="37">
        <v>24</v>
      </c>
      <c r="F69" s="38">
        <v>2</v>
      </c>
      <c r="G69" s="39"/>
      <c r="H69" s="40"/>
      <c r="I69" s="41">
        <f t="shared" si="10"/>
        <v>96</v>
      </c>
      <c r="J69" s="42"/>
      <c r="K69" s="42"/>
      <c r="L69" s="41">
        <f t="shared" si="9"/>
        <v>0</v>
      </c>
      <c r="M69" s="41">
        <f t="shared" si="11"/>
        <v>2304</v>
      </c>
      <c r="N69" s="41">
        <f t="shared" si="12"/>
        <v>0</v>
      </c>
      <c r="O69" s="43">
        <f t="shared" si="13"/>
        <v>2304</v>
      </c>
      <c r="P69" s="43">
        <f t="shared" si="14"/>
        <v>-2304</v>
      </c>
      <c r="Q69" s="44"/>
      <c r="R69" s="45"/>
      <c r="S69" s="17"/>
    </row>
    <row r="70" spans="1:19" ht="15.75" x14ac:dyDescent="0.25">
      <c r="A70" s="168"/>
      <c r="B70" s="80" t="s">
        <v>185</v>
      </c>
      <c r="C70" s="81" t="s">
        <v>381</v>
      </c>
      <c r="D70" s="37">
        <v>32</v>
      </c>
      <c r="E70" s="37">
        <v>14</v>
      </c>
      <c r="F70" s="38">
        <v>34</v>
      </c>
      <c r="G70" s="39"/>
      <c r="H70" s="40"/>
      <c r="I70" s="41">
        <f t="shared" si="10"/>
        <v>1088</v>
      </c>
      <c r="J70" s="42"/>
      <c r="K70" s="42"/>
      <c r="L70" s="41">
        <f t="shared" si="9"/>
        <v>0</v>
      </c>
      <c r="M70" s="41">
        <f t="shared" si="11"/>
        <v>15232</v>
      </c>
      <c r="N70" s="41">
        <f t="shared" si="12"/>
        <v>0</v>
      </c>
      <c r="O70" s="43">
        <f t="shared" si="13"/>
        <v>15232</v>
      </c>
      <c r="P70" s="43">
        <f t="shared" si="14"/>
        <v>-15232</v>
      </c>
      <c r="Q70" s="44"/>
      <c r="R70" s="45"/>
      <c r="S70" s="17"/>
    </row>
    <row r="71" spans="1:19" ht="15.75" x14ac:dyDescent="0.25">
      <c r="A71" s="168"/>
      <c r="B71" s="80" t="s">
        <v>190</v>
      </c>
      <c r="C71" s="81" t="s">
        <v>382</v>
      </c>
      <c r="D71" s="37">
        <v>32</v>
      </c>
      <c r="E71" s="37">
        <v>14</v>
      </c>
      <c r="F71" s="38"/>
      <c r="G71" s="39"/>
      <c r="H71" s="40"/>
      <c r="I71" s="41">
        <f t="shared" si="10"/>
        <v>0</v>
      </c>
      <c r="J71" s="42"/>
      <c r="K71" s="42"/>
      <c r="L71" s="41">
        <f t="shared" si="9"/>
        <v>0</v>
      </c>
      <c r="M71" s="41">
        <f t="shared" si="11"/>
        <v>0</v>
      </c>
      <c r="N71" s="41">
        <f t="shared" si="12"/>
        <v>0</v>
      </c>
      <c r="O71" s="43">
        <f t="shared" si="13"/>
        <v>0</v>
      </c>
      <c r="P71" s="43">
        <f t="shared" si="14"/>
        <v>0</v>
      </c>
      <c r="Q71" s="44"/>
      <c r="R71" s="45"/>
      <c r="S71" s="17"/>
    </row>
    <row r="72" spans="1:19" ht="15.75" x14ac:dyDescent="0.25">
      <c r="A72" s="168"/>
      <c r="B72" s="80" t="s">
        <v>193</v>
      </c>
      <c r="C72" s="81" t="s">
        <v>383</v>
      </c>
      <c r="D72" s="37">
        <v>32</v>
      </c>
      <c r="E72" s="37">
        <v>14</v>
      </c>
      <c r="F72" s="38"/>
      <c r="G72" s="39"/>
      <c r="H72" s="40"/>
      <c r="I72" s="41">
        <f t="shared" si="10"/>
        <v>0</v>
      </c>
      <c r="J72" s="42"/>
      <c r="K72" s="42"/>
      <c r="L72" s="41">
        <f t="shared" si="9"/>
        <v>0</v>
      </c>
      <c r="M72" s="41">
        <f t="shared" si="11"/>
        <v>0</v>
      </c>
      <c r="N72" s="41">
        <f t="shared" si="12"/>
        <v>0</v>
      </c>
      <c r="O72" s="43">
        <f t="shared" si="13"/>
        <v>0</v>
      </c>
      <c r="P72" s="43">
        <f t="shared" si="14"/>
        <v>0</v>
      </c>
      <c r="Q72" s="44"/>
      <c r="R72" s="45"/>
      <c r="S72" s="17"/>
    </row>
    <row r="73" spans="1:19" ht="15.75" x14ac:dyDescent="0.25">
      <c r="A73" s="169"/>
      <c r="B73" s="84" t="s">
        <v>196</v>
      </c>
      <c r="C73" s="85" t="s">
        <v>384</v>
      </c>
      <c r="D73" s="60">
        <v>32</v>
      </c>
      <c r="E73" s="60">
        <v>14</v>
      </c>
      <c r="F73" s="61">
        <v>2</v>
      </c>
      <c r="G73" s="62"/>
      <c r="H73" s="63"/>
      <c r="I73" s="41">
        <f t="shared" si="10"/>
        <v>64</v>
      </c>
      <c r="J73" s="64"/>
      <c r="K73" s="64"/>
      <c r="L73" s="65">
        <f t="shared" si="9"/>
        <v>0</v>
      </c>
      <c r="M73" s="41">
        <f t="shared" si="11"/>
        <v>896</v>
      </c>
      <c r="N73" s="41">
        <f t="shared" si="12"/>
        <v>0</v>
      </c>
      <c r="O73" s="43">
        <f t="shared" si="13"/>
        <v>896</v>
      </c>
      <c r="P73" s="66">
        <f t="shared" si="14"/>
        <v>-896</v>
      </c>
      <c r="Q73" s="67"/>
      <c r="R73" s="68"/>
      <c r="S73" s="17"/>
    </row>
    <row r="74" spans="1:19" ht="15.75" x14ac:dyDescent="0.25">
      <c r="A74" s="167" t="s">
        <v>385</v>
      </c>
      <c r="B74" s="69" t="s">
        <v>74</v>
      </c>
      <c r="C74" s="70" t="s">
        <v>386</v>
      </c>
      <c r="D74" s="71">
        <v>42</v>
      </c>
      <c r="E74" s="71">
        <v>16</v>
      </c>
      <c r="F74" s="72"/>
      <c r="G74" s="73"/>
      <c r="H74" s="74"/>
      <c r="I74" s="41">
        <f t="shared" si="10"/>
        <v>0</v>
      </c>
      <c r="J74" s="75"/>
      <c r="K74" s="75"/>
      <c r="L74" s="76">
        <f t="shared" si="9"/>
        <v>0</v>
      </c>
      <c r="M74" s="41">
        <f t="shared" si="11"/>
        <v>0</v>
      </c>
      <c r="N74" s="41">
        <f t="shared" si="12"/>
        <v>0</v>
      </c>
      <c r="O74" s="43">
        <f t="shared" si="13"/>
        <v>0</v>
      </c>
      <c r="P74" s="77">
        <f t="shared" si="14"/>
        <v>0</v>
      </c>
      <c r="Q74" s="78"/>
      <c r="R74" s="79"/>
      <c r="S74" s="17"/>
    </row>
    <row r="75" spans="1:19" ht="15.75" x14ac:dyDescent="0.25">
      <c r="A75" s="168"/>
      <c r="B75" s="80" t="s">
        <v>71</v>
      </c>
      <c r="C75" s="81" t="s">
        <v>387</v>
      </c>
      <c r="D75" s="37">
        <v>42</v>
      </c>
      <c r="E75" s="37">
        <v>42</v>
      </c>
      <c r="F75" s="38"/>
      <c r="G75" s="39"/>
      <c r="H75" s="40"/>
      <c r="I75" s="41">
        <f t="shared" si="10"/>
        <v>0</v>
      </c>
      <c r="J75" s="42"/>
      <c r="K75" s="42"/>
      <c r="L75" s="41">
        <f t="shared" si="9"/>
        <v>0</v>
      </c>
      <c r="M75" s="41">
        <f t="shared" si="11"/>
        <v>0</v>
      </c>
      <c r="N75" s="41">
        <f t="shared" si="12"/>
        <v>0</v>
      </c>
      <c r="O75" s="43">
        <f t="shared" si="13"/>
        <v>0</v>
      </c>
      <c r="P75" s="43">
        <f t="shared" si="14"/>
        <v>0</v>
      </c>
      <c r="Q75" s="44"/>
      <c r="R75" s="45"/>
      <c r="S75" s="17"/>
    </row>
    <row r="76" spans="1:19" ht="15.75" x14ac:dyDescent="0.25">
      <c r="A76" s="168"/>
      <c r="B76" s="80" t="s">
        <v>68</v>
      </c>
      <c r="C76" s="81" t="s">
        <v>388</v>
      </c>
      <c r="D76" s="37">
        <v>42</v>
      </c>
      <c r="E76" s="37">
        <v>16</v>
      </c>
      <c r="F76" s="38">
        <v>7</v>
      </c>
      <c r="G76" s="39"/>
      <c r="H76" s="40"/>
      <c r="I76" s="41">
        <f t="shared" si="10"/>
        <v>294</v>
      </c>
      <c r="J76" s="42"/>
      <c r="K76" s="42"/>
      <c r="L76" s="41">
        <f t="shared" si="9"/>
        <v>0</v>
      </c>
      <c r="M76" s="41">
        <f t="shared" si="11"/>
        <v>4704</v>
      </c>
      <c r="N76" s="41">
        <f t="shared" si="12"/>
        <v>0</v>
      </c>
      <c r="O76" s="43">
        <f t="shared" si="13"/>
        <v>4704</v>
      </c>
      <c r="P76" s="43">
        <f t="shared" si="14"/>
        <v>-4704</v>
      </c>
      <c r="Q76" s="44"/>
      <c r="R76" s="45"/>
      <c r="S76" s="17"/>
    </row>
    <row r="77" spans="1:19" ht="15.75" x14ac:dyDescent="0.25">
      <c r="A77" s="168"/>
      <c r="B77" s="80" t="s">
        <v>389</v>
      </c>
      <c r="C77" s="81" t="s">
        <v>390</v>
      </c>
      <c r="D77" s="37">
        <v>42</v>
      </c>
      <c r="E77" s="37">
        <v>42</v>
      </c>
      <c r="F77" s="38"/>
      <c r="G77" s="39"/>
      <c r="H77" s="40"/>
      <c r="I77" s="41">
        <f t="shared" si="10"/>
        <v>0</v>
      </c>
      <c r="J77" s="42"/>
      <c r="K77" s="42"/>
      <c r="L77" s="41">
        <f t="shared" si="9"/>
        <v>0</v>
      </c>
      <c r="M77" s="41">
        <f t="shared" si="11"/>
        <v>0</v>
      </c>
      <c r="N77" s="41">
        <f t="shared" si="12"/>
        <v>0</v>
      </c>
      <c r="O77" s="43">
        <f t="shared" si="13"/>
        <v>0</v>
      </c>
      <c r="P77" s="43">
        <f t="shared" si="14"/>
        <v>0</v>
      </c>
      <c r="Q77" s="44"/>
      <c r="R77" s="45"/>
      <c r="S77" s="17"/>
    </row>
    <row r="78" spans="1:19" ht="15.75" x14ac:dyDescent="0.25">
      <c r="A78" s="168"/>
      <c r="B78" s="80" t="s">
        <v>84</v>
      </c>
      <c r="C78" s="81" t="s">
        <v>391</v>
      </c>
      <c r="D78" s="37">
        <v>42</v>
      </c>
      <c r="E78" s="37">
        <v>16</v>
      </c>
      <c r="F78" s="38">
        <v>10</v>
      </c>
      <c r="G78" s="39"/>
      <c r="H78" s="40"/>
      <c r="I78" s="41">
        <f t="shared" si="10"/>
        <v>420</v>
      </c>
      <c r="J78" s="42"/>
      <c r="K78" s="42"/>
      <c r="L78" s="41">
        <f t="shared" si="9"/>
        <v>0</v>
      </c>
      <c r="M78" s="41">
        <f t="shared" si="11"/>
        <v>6720</v>
      </c>
      <c r="N78" s="41">
        <f t="shared" si="12"/>
        <v>0</v>
      </c>
      <c r="O78" s="43">
        <f t="shared" si="13"/>
        <v>6720</v>
      </c>
      <c r="P78" s="43">
        <f t="shared" si="14"/>
        <v>-6720</v>
      </c>
      <c r="Q78" s="44"/>
      <c r="R78" s="45"/>
      <c r="S78" s="17"/>
    </row>
    <row r="79" spans="1:19" ht="15.75" x14ac:dyDescent="0.25">
      <c r="A79" s="168"/>
      <c r="B79" s="80" t="s">
        <v>392</v>
      </c>
      <c r="C79" s="81" t="s">
        <v>393</v>
      </c>
      <c r="D79" s="37">
        <v>42</v>
      </c>
      <c r="E79" s="37">
        <v>42</v>
      </c>
      <c r="F79" s="38"/>
      <c r="G79" s="39"/>
      <c r="H79" s="40"/>
      <c r="I79" s="41">
        <f t="shared" si="10"/>
        <v>0</v>
      </c>
      <c r="J79" s="42"/>
      <c r="K79" s="42"/>
      <c r="L79" s="41">
        <f t="shared" si="9"/>
        <v>0</v>
      </c>
      <c r="M79" s="41">
        <f t="shared" si="11"/>
        <v>0</v>
      </c>
      <c r="N79" s="41">
        <f t="shared" si="12"/>
        <v>0</v>
      </c>
      <c r="O79" s="43">
        <f t="shared" si="13"/>
        <v>0</v>
      </c>
      <c r="P79" s="43">
        <f t="shared" si="14"/>
        <v>0</v>
      </c>
      <c r="Q79" s="44"/>
      <c r="R79" s="45"/>
      <c r="S79" s="17"/>
    </row>
    <row r="80" spans="1:19" ht="15.75" x14ac:dyDescent="0.25">
      <c r="A80" s="168"/>
      <c r="B80" s="80" t="s">
        <v>82</v>
      </c>
      <c r="C80" s="81" t="s">
        <v>394</v>
      </c>
      <c r="D80" s="37">
        <v>42</v>
      </c>
      <c r="E80" s="37">
        <v>16</v>
      </c>
      <c r="F80" s="38">
        <v>10</v>
      </c>
      <c r="G80" s="39"/>
      <c r="H80" s="40"/>
      <c r="I80" s="41">
        <f t="shared" si="10"/>
        <v>420</v>
      </c>
      <c r="J80" s="42"/>
      <c r="K80" s="42"/>
      <c r="L80" s="41">
        <f t="shared" si="9"/>
        <v>0</v>
      </c>
      <c r="M80" s="41">
        <f t="shared" si="11"/>
        <v>6720</v>
      </c>
      <c r="N80" s="41">
        <f t="shared" si="12"/>
        <v>0</v>
      </c>
      <c r="O80" s="43">
        <f t="shared" si="13"/>
        <v>6720</v>
      </c>
      <c r="P80" s="43">
        <f t="shared" si="14"/>
        <v>-6720</v>
      </c>
      <c r="Q80" s="44"/>
      <c r="R80" s="45"/>
      <c r="S80" s="17"/>
    </row>
    <row r="81" spans="1:19" ht="15.75" x14ac:dyDescent="0.25">
      <c r="A81" s="168"/>
      <c r="B81" s="80" t="s">
        <v>80</v>
      </c>
      <c r="C81" s="81" t="s">
        <v>395</v>
      </c>
      <c r="D81" s="37">
        <v>42</v>
      </c>
      <c r="E81" s="37">
        <v>42</v>
      </c>
      <c r="F81" s="38">
        <v>6</v>
      </c>
      <c r="G81" s="39"/>
      <c r="H81" s="40"/>
      <c r="I81" s="41">
        <f t="shared" si="10"/>
        <v>252</v>
      </c>
      <c r="J81" s="42"/>
      <c r="K81" s="42"/>
      <c r="L81" s="41">
        <f t="shared" si="9"/>
        <v>0</v>
      </c>
      <c r="M81" s="41">
        <f t="shared" si="11"/>
        <v>10584</v>
      </c>
      <c r="N81" s="41">
        <f t="shared" si="12"/>
        <v>0</v>
      </c>
      <c r="O81" s="43">
        <f t="shared" si="13"/>
        <v>10584</v>
      </c>
      <c r="P81" s="43">
        <f t="shared" si="14"/>
        <v>-10584</v>
      </c>
      <c r="Q81" s="44"/>
      <c r="R81" s="45"/>
      <c r="S81" s="17"/>
    </row>
    <row r="82" spans="1:19" ht="15.75" x14ac:dyDescent="0.25">
      <c r="A82" s="168"/>
      <c r="B82" s="80" t="s">
        <v>78</v>
      </c>
      <c r="C82" s="81" t="s">
        <v>396</v>
      </c>
      <c r="D82" s="37">
        <v>42</v>
      </c>
      <c r="E82" s="37">
        <v>16</v>
      </c>
      <c r="F82" s="38"/>
      <c r="G82" s="39"/>
      <c r="H82" s="40"/>
      <c r="I82" s="41">
        <f t="shared" si="10"/>
        <v>0</v>
      </c>
      <c r="J82" s="42"/>
      <c r="K82" s="42"/>
      <c r="L82" s="41">
        <f t="shared" si="9"/>
        <v>0</v>
      </c>
      <c r="M82" s="41">
        <f t="shared" si="11"/>
        <v>0</v>
      </c>
      <c r="N82" s="41">
        <f t="shared" si="12"/>
        <v>0</v>
      </c>
      <c r="O82" s="43">
        <f t="shared" si="13"/>
        <v>0</v>
      </c>
      <c r="P82" s="43">
        <f t="shared" si="14"/>
        <v>0</v>
      </c>
      <c r="Q82" s="44"/>
      <c r="R82" s="45"/>
      <c r="S82" s="17"/>
    </row>
    <row r="83" spans="1:19" ht="15.75" x14ac:dyDescent="0.25">
      <c r="A83" s="168"/>
      <c r="B83" s="80" t="s">
        <v>76</v>
      </c>
      <c r="C83" s="81" t="s">
        <v>397</v>
      </c>
      <c r="D83" s="37">
        <v>42</v>
      </c>
      <c r="E83" s="37">
        <v>42</v>
      </c>
      <c r="F83" s="38"/>
      <c r="G83" s="39"/>
      <c r="H83" s="40"/>
      <c r="I83" s="41">
        <f t="shared" si="10"/>
        <v>0</v>
      </c>
      <c r="J83" s="42"/>
      <c r="K83" s="42"/>
      <c r="L83" s="41">
        <f t="shared" si="9"/>
        <v>0</v>
      </c>
      <c r="M83" s="41">
        <f t="shared" si="11"/>
        <v>0</v>
      </c>
      <c r="N83" s="41">
        <f t="shared" si="12"/>
        <v>0</v>
      </c>
      <c r="O83" s="43">
        <f t="shared" si="13"/>
        <v>0</v>
      </c>
      <c r="P83" s="43">
        <f t="shared" si="14"/>
        <v>0</v>
      </c>
      <c r="Q83" s="44"/>
      <c r="R83" s="45"/>
      <c r="S83" s="17"/>
    </row>
    <row r="84" spans="1:19" ht="15.75" x14ac:dyDescent="0.25">
      <c r="A84" s="168"/>
      <c r="B84" s="110" t="s">
        <v>65</v>
      </c>
      <c r="C84" s="81" t="s">
        <v>398</v>
      </c>
      <c r="D84" s="37">
        <v>42</v>
      </c>
      <c r="E84" s="37">
        <v>16</v>
      </c>
      <c r="F84" s="38"/>
      <c r="G84" s="39"/>
      <c r="H84" s="40"/>
      <c r="I84" s="41">
        <f t="shared" si="10"/>
        <v>0</v>
      </c>
      <c r="J84" s="42"/>
      <c r="K84" s="42"/>
      <c r="L84" s="41">
        <f t="shared" si="9"/>
        <v>0</v>
      </c>
      <c r="M84" s="41">
        <f t="shared" si="11"/>
        <v>0</v>
      </c>
      <c r="N84" s="41">
        <f t="shared" si="12"/>
        <v>0</v>
      </c>
      <c r="O84" s="43">
        <f t="shared" si="13"/>
        <v>0</v>
      </c>
      <c r="P84" s="43">
        <f t="shared" si="14"/>
        <v>0</v>
      </c>
      <c r="Q84" s="44"/>
      <c r="R84" s="45"/>
      <c r="S84" s="17"/>
    </row>
    <row r="85" spans="1:19" ht="15.75" x14ac:dyDescent="0.25">
      <c r="A85" s="169"/>
      <c r="B85" s="84" t="s">
        <v>63</v>
      </c>
      <c r="C85" s="85" t="s">
        <v>399</v>
      </c>
      <c r="D85" s="60">
        <v>42</v>
      </c>
      <c r="E85" s="60">
        <v>42</v>
      </c>
      <c r="F85" s="61"/>
      <c r="G85" s="62"/>
      <c r="H85" s="63"/>
      <c r="I85" s="41">
        <f t="shared" si="10"/>
        <v>0</v>
      </c>
      <c r="J85" s="64"/>
      <c r="K85" s="64"/>
      <c r="L85" s="65">
        <f t="shared" si="9"/>
        <v>0</v>
      </c>
      <c r="M85" s="41">
        <f t="shared" si="11"/>
        <v>0</v>
      </c>
      <c r="N85" s="41">
        <f t="shared" si="12"/>
        <v>0</v>
      </c>
      <c r="O85" s="43">
        <f t="shared" si="13"/>
        <v>0</v>
      </c>
      <c r="P85" s="66">
        <f t="shared" si="14"/>
        <v>0</v>
      </c>
      <c r="Q85" s="67"/>
      <c r="R85" s="68"/>
      <c r="S85" s="17"/>
    </row>
    <row r="86" spans="1:19" ht="15.75" x14ac:dyDescent="0.25">
      <c r="A86" s="174"/>
      <c r="B86" s="86" t="s">
        <v>15</v>
      </c>
      <c r="C86" s="87" t="s">
        <v>400</v>
      </c>
      <c r="D86" s="88">
        <v>70</v>
      </c>
      <c r="E86" s="88">
        <v>20</v>
      </c>
      <c r="F86" s="89"/>
      <c r="G86" s="90"/>
      <c r="H86" s="91"/>
      <c r="I86" s="41">
        <f t="shared" si="10"/>
        <v>0</v>
      </c>
      <c r="J86" s="92"/>
      <c r="K86" s="92"/>
      <c r="L86" s="93">
        <f t="shared" si="9"/>
        <v>0</v>
      </c>
      <c r="M86" s="41">
        <f t="shared" si="11"/>
        <v>0</v>
      </c>
      <c r="N86" s="41">
        <f t="shared" si="12"/>
        <v>0</v>
      </c>
      <c r="O86" s="43">
        <f t="shared" si="13"/>
        <v>0</v>
      </c>
      <c r="P86" s="94">
        <f t="shared" si="14"/>
        <v>0</v>
      </c>
      <c r="Q86" s="95"/>
      <c r="R86" s="96"/>
      <c r="S86" s="17"/>
    </row>
    <row r="87" spans="1:19" ht="15.75" x14ac:dyDescent="0.25">
      <c r="A87" s="175"/>
      <c r="B87" s="80" t="s">
        <v>13</v>
      </c>
      <c r="C87" s="81" t="s">
        <v>401</v>
      </c>
      <c r="D87" s="37">
        <v>32</v>
      </c>
      <c r="E87" s="37">
        <v>12</v>
      </c>
      <c r="F87" s="38"/>
      <c r="G87" s="39"/>
      <c r="H87" s="40"/>
      <c r="I87" s="41">
        <f t="shared" si="10"/>
        <v>0</v>
      </c>
      <c r="J87" s="42"/>
      <c r="K87" s="42"/>
      <c r="L87" s="41">
        <f t="shared" si="9"/>
        <v>0</v>
      </c>
      <c r="M87" s="41">
        <f t="shared" si="11"/>
        <v>0</v>
      </c>
      <c r="N87" s="41">
        <f t="shared" si="12"/>
        <v>0</v>
      </c>
      <c r="O87" s="43">
        <f t="shared" si="13"/>
        <v>0</v>
      </c>
      <c r="P87" s="43">
        <f t="shared" si="14"/>
        <v>0</v>
      </c>
      <c r="Q87" s="44"/>
      <c r="R87" s="97"/>
      <c r="S87" s="17"/>
    </row>
    <row r="88" spans="1:19" ht="15.75" x14ac:dyDescent="0.25">
      <c r="A88" s="175"/>
      <c r="B88" s="80" t="s">
        <v>11</v>
      </c>
      <c r="C88" s="81" t="s">
        <v>402</v>
      </c>
      <c r="D88" s="37">
        <v>70</v>
      </c>
      <c r="E88" s="37">
        <v>20</v>
      </c>
      <c r="F88" s="38"/>
      <c r="G88" s="39"/>
      <c r="H88" s="40"/>
      <c r="I88" s="41">
        <f t="shared" si="10"/>
        <v>0</v>
      </c>
      <c r="J88" s="42"/>
      <c r="K88" s="42"/>
      <c r="L88" s="41">
        <f t="shared" si="9"/>
        <v>0</v>
      </c>
      <c r="M88" s="41">
        <f t="shared" si="11"/>
        <v>0</v>
      </c>
      <c r="N88" s="41">
        <f t="shared" si="12"/>
        <v>0</v>
      </c>
      <c r="O88" s="43">
        <f t="shared" si="13"/>
        <v>0</v>
      </c>
      <c r="P88" s="43">
        <f t="shared" si="14"/>
        <v>0</v>
      </c>
      <c r="Q88" s="44"/>
      <c r="R88" s="97"/>
      <c r="S88" s="17"/>
    </row>
    <row r="89" spans="1:19" ht="15.75" x14ac:dyDescent="0.25">
      <c r="A89" s="175"/>
      <c r="B89" s="80" t="s">
        <v>8</v>
      </c>
      <c r="C89" s="81" t="s">
        <v>403</v>
      </c>
      <c r="D89" s="37">
        <v>32</v>
      </c>
      <c r="E89" s="37">
        <v>12</v>
      </c>
      <c r="F89" s="38"/>
      <c r="G89" s="39"/>
      <c r="H89" s="40"/>
      <c r="I89" s="41">
        <f t="shared" si="10"/>
        <v>0</v>
      </c>
      <c r="J89" s="42"/>
      <c r="K89" s="42"/>
      <c r="L89" s="41">
        <f t="shared" si="9"/>
        <v>0</v>
      </c>
      <c r="M89" s="41">
        <f t="shared" si="11"/>
        <v>0</v>
      </c>
      <c r="N89" s="41">
        <f t="shared" si="12"/>
        <v>0</v>
      </c>
      <c r="O89" s="43">
        <f t="shared" si="13"/>
        <v>0</v>
      </c>
      <c r="P89" s="43">
        <f t="shared" si="14"/>
        <v>0</v>
      </c>
      <c r="Q89" s="44"/>
      <c r="R89" s="97"/>
      <c r="S89" s="17"/>
    </row>
    <row r="90" spans="1:19" ht="15.75" x14ac:dyDescent="0.25">
      <c r="A90" s="175"/>
      <c r="B90" s="80" t="s">
        <v>17</v>
      </c>
      <c r="C90" s="81" t="s">
        <v>404</v>
      </c>
      <c r="D90" s="37">
        <v>32</v>
      </c>
      <c r="E90" s="37">
        <v>12</v>
      </c>
      <c r="F90" s="38"/>
      <c r="G90" s="39"/>
      <c r="H90" s="40"/>
      <c r="I90" s="41">
        <f t="shared" si="10"/>
        <v>0</v>
      </c>
      <c r="J90" s="42"/>
      <c r="K90" s="42"/>
      <c r="L90" s="41">
        <f t="shared" si="9"/>
        <v>0</v>
      </c>
      <c r="M90" s="41">
        <f t="shared" si="11"/>
        <v>0</v>
      </c>
      <c r="N90" s="41">
        <f t="shared" si="12"/>
        <v>0</v>
      </c>
      <c r="O90" s="43">
        <f t="shared" si="13"/>
        <v>0</v>
      </c>
      <c r="P90" s="43">
        <f t="shared" si="14"/>
        <v>0</v>
      </c>
      <c r="Q90" s="44"/>
      <c r="R90" s="97"/>
      <c r="S90" s="17"/>
    </row>
    <row r="91" spans="1:19" ht="15.75" x14ac:dyDescent="0.25">
      <c r="A91" s="98"/>
      <c r="B91" s="111"/>
      <c r="C91" s="100"/>
      <c r="D91" s="101"/>
      <c r="E91" s="101"/>
      <c r="F91" s="102"/>
      <c r="G91" s="103"/>
      <c r="H91" s="104"/>
      <c r="I91" s="41">
        <f t="shared" si="10"/>
        <v>0</v>
      </c>
      <c r="J91" s="105"/>
      <c r="K91" s="105"/>
      <c r="L91" s="106"/>
      <c r="M91" s="41">
        <f t="shared" si="11"/>
        <v>0</v>
      </c>
      <c r="N91" s="41">
        <f t="shared" si="12"/>
        <v>0</v>
      </c>
      <c r="O91" s="43">
        <f t="shared" si="13"/>
        <v>0</v>
      </c>
      <c r="P91" s="107"/>
      <c r="Q91" s="108"/>
      <c r="R91" s="109"/>
      <c r="S91" s="17"/>
    </row>
    <row r="92" spans="1:19" ht="15.75" x14ac:dyDescent="0.25">
      <c r="A92" s="167" t="s">
        <v>405</v>
      </c>
      <c r="B92" s="69" t="s">
        <v>205</v>
      </c>
      <c r="C92" s="70" t="s">
        <v>406</v>
      </c>
      <c r="D92" s="71">
        <v>32</v>
      </c>
      <c r="E92" s="71">
        <v>14</v>
      </c>
      <c r="F92" s="72">
        <v>24</v>
      </c>
      <c r="G92" s="73">
        <v>2</v>
      </c>
      <c r="H92" s="74"/>
      <c r="I92" s="41">
        <f t="shared" si="10"/>
        <v>770</v>
      </c>
      <c r="J92" s="75"/>
      <c r="K92" s="75"/>
      <c r="L92" s="76">
        <f t="shared" ref="L92:L98" si="15">K92+J92</f>
        <v>0</v>
      </c>
      <c r="M92" s="41">
        <f t="shared" si="11"/>
        <v>10780</v>
      </c>
      <c r="N92" s="41">
        <f t="shared" si="12"/>
        <v>0</v>
      </c>
      <c r="O92" s="43">
        <f t="shared" si="13"/>
        <v>10780</v>
      </c>
      <c r="P92" s="77">
        <f t="shared" ref="P92:P121" si="16">+Q92-O92</f>
        <v>-10780</v>
      </c>
      <c r="Q92" s="78"/>
      <c r="R92" s="79"/>
      <c r="S92" s="17"/>
    </row>
    <row r="93" spans="1:19" ht="15.75" x14ac:dyDescent="0.25">
      <c r="A93" s="168"/>
      <c r="B93" s="80" t="s">
        <v>207</v>
      </c>
      <c r="C93" s="81" t="s">
        <v>407</v>
      </c>
      <c r="D93" s="37">
        <v>48</v>
      </c>
      <c r="E93" s="37">
        <v>14</v>
      </c>
      <c r="F93" s="38">
        <v>17</v>
      </c>
      <c r="G93" s="39">
        <v>71</v>
      </c>
      <c r="H93" s="40"/>
      <c r="I93" s="41">
        <f t="shared" si="10"/>
        <v>887</v>
      </c>
      <c r="J93" s="42"/>
      <c r="K93" s="42"/>
      <c r="L93" s="41">
        <f t="shared" si="15"/>
        <v>0</v>
      </c>
      <c r="M93" s="41">
        <f t="shared" si="11"/>
        <v>12418</v>
      </c>
      <c r="N93" s="41">
        <f t="shared" si="12"/>
        <v>0</v>
      </c>
      <c r="O93" s="43">
        <f t="shared" si="13"/>
        <v>12418</v>
      </c>
      <c r="P93" s="43">
        <f t="shared" si="16"/>
        <v>-12418</v>
      </c>
      <c r="Q93" s="44"/>
      <c r="R93" s="45"/>
      <c r="S93" s="17"/>
    </row>
    <row r="94" spans="1:19" ht="15.75" x14ac:dyDescent="0.25">
      <c r="A94" s="168"/>
      <c r="B94" s="80" t="s">
        <v>209</v>
      </c>
      <c r="C94" s="81" t="s">
        <v>408</v>
      </c>
      <c r="D94" s="37">
        <v>48</v>
      </c>
      <c r="E94" s="37">
        <v>20</v>
      </c>
      <c r="F94" s="38">
        <v>1</v>
      </c>
      <c r="G94" s="39"/>
      <c r="H94" s="40"/>
      <c r="I94" s="41">
        <f t="shared" si="10"/>
        <v>48</v>
      </c>
      <c r="J94" s="42"/>
      <c r="K94" s="42"/>
      <c r="L94" s="41">
        <f t="shared" si="15"/>
        <v>0</v>
      </c>
      <c r="M94" s="41">
        <f t="shared" si="11"/>
        <v>960</v>
      </c>
      <c r="N94" s="41">
        <f t="shared" si="12"/>
        <v>0</v>
      </c>
      <c r="O94" s="43">
        <f t="shared" si="13"/>
        <v>960</v>
      </c>
      <c r="P94" s="43">
        <f t="shared" si="16"/>
        <v>-960</v>
      </c>
      <c r="Q94" s="44"/>
      <c r="R94" s="45"/>
      <c r="S94" s="17"/>
    </row>
    <row r="95" spans="1:19" ht="15.75" x14ac:dyDescent="0.25">
      <c r="A95" s="168"/>
      <c r="B95" s="80" t="s">
        <v>203</v>
      </c>
      <c r="C95" s="81" t="s">
        <v>409</v>
      </c>
      <c r="D95" s="37">
        <v>32</v>
      </c>
      <c r="E95" s="37">
        <v>14</v>
      </c>
      <c r="F95" s="38">
        <v>11</v>
      </c>
      <c r="G95" s="39">
        <v>3</v>
      </c>
      <c r="H95" s="40"/>
      <c r="I95" s="41">
        <f t="shared" si="10"/>
        <v>355</v>
      </c>
      <c r="J95" s="42"/>
      <c r="K95" s="42"/>
      <c r="L95" s="41">
        <f t="shared" si="15"/>
        <v>0</v>
      </c>
      <c r="M95" s="41">
        <f t="shared" si="11"/>
        <v>4970</v>
      </c>
      <c r="N95" s="41">
        <f t="shared" si="12"/>
        <v>0</v>
      </c>
      <c r="O95" s="43">
        <f t="shared" si="13"/>
        <v>4970</v>
      </c>
      <c r="P95" s="43">
        <f t="shared" si="16"/>
        <v>-4970</v>
      </c>
      <c r="Q95" s="44"/>
      <c r="R95" s="45"/>
      <c r="S95" s="17"/>
    </row>
    <row r="96" spans="1:19" ht="15.75" x14ac:dyDescent="0.25">
      <c r="A96" s="168"/>
      <c r="B96" s="80" t="s">
        <v>201</v>
      </c>
      <c r="C96" s="81" t="s">
        <v>410</v>
      </c>
      <c r="D96" s="37">
        <v>32</v>
      </c>
      <c r="E96" s="37">
        <v>14</v>
      </c>
      <c r="F96" s="38">
        <v>22</v>
      </c>
      <c r="G96" s="39">
        <v>47</v>
      </c>
      <c r="H96" s="40"/>
      <c r="I96" s="41">
        <f t="shared" si="10"/>
        <v>751</v>
      </c>
      <c r="J96" s="42"/>
      <c r="K96" s="42"/>
      <c r="L96" s="41">
        <f t="shared" si="15"/>
        <v>0</v>
      </c>
      <c r="M96" s="41">
        <f t="shared" si="11"/>
        <v>10514</v>
      </c>
      <c r="N96" s="41">
        <f t="shared" si="12"/>
        <v>0</v>
      </c>
      <c r="O96" s="43">
        <f t="shared" si="13"/>
        <v>10514</v>
      </c>
      <c r="P96" s="43">
        <f t="shared" si="16"/>
        <v>-10514</v>
      </c>
      <c r="Q96" s="44"/>
      <c r="R96" s="45"/>
      <c r="S96" s="17"/>
    </row>
    <row r="97" spans="1:19" ht="15.75" x14ac:dyDescent="0.25">
      <c r="A97" s="168"/>
      <c r="B97" s="80" t="s">
        <v>198</v>
      </c>
      <c r="C97" s="81" t="s">
        <v>411</v>
      </c>
      <c r="D97" s="37">
        <v>32</v>
      </c>
      <c r="E97" s="37">
        <v>14</v>
      </c>
      <c r="F97" s="38">
        <v>19</v>
      </c>
      <c r="G97" s="39">
        <v>18</v>
      </c>
      <c r="H97" s="40"/>
      <c r="I97" s="41">
        <f t="shared" si="10"/>
        <v>626</v>
      </c>
      <c r="J97" s="42"/>
      <c r="K97" s="42"/>
      <c r="L97" s="41">
        <f t="shared" si="15"/>
        <v>0</v>
      </c>
      <c r="M97" s="41">
        <f t="shared" si="11"/>
        <v>8764</v>
      </c>
      <c r="N97" s="41">
        <f t="shared" si="12"/>
        <v>0</v>
      </c>
      <c r="O97" s="43">
        <f t="shared" si="13"/>
        <v>8764</v>
      </c>
      <c r="P97" s="43">
        <f t="shared" si="16"/>
        <v>-8764</v>
      </c>
      <c r="Q97" s="44"/>
      <c r="R97" s="45"/>
      <c r="S97" s="17"/>
    </row>
    <row r="98" spans="1:19" ht="15.75" x14ac:dyDescent="0.25">
      <c r="A98" s="169"/>
      <c r="B98" s="84" t="s">
        <v>212</v>
      </c>
      <c r="C98" s="85" t="s">
        <v>412</v>
      </c>
      <c r="D98" s="60">
        <v>32</v>
      </c>
      <c r="E98" s="60">
        <v>14</v>
      </c>
      <c r="F98" s="61">
        <v>16</v>
      </c>
      <c r="G98" s="112">
        <v>6</v>
      </c>
      <c r="H98" s="113"/>
      <c r="I98" s="41">
        <f t="shared" si="10"/>
        <v>518</v>
      </c>
      <c r="J98" s="64"/>
      <c r="K98" s="64"/>
      <c r="L98" s="65">
        <f t="shared" si="15"/>
        <v>0</v>
      </c>
      <c r="M98" s="41">
        <f t="shared" si="11"/>
        <v>7252</v>
      </c>
      <c r="N98" s="41">
        <f t="shared" si="12"/>
        <v>0</v>
      </c>
      <c r="O98" s="43">
        <f t="shared" si="13"/>
        <v>7252</v>
      </c>
      <c r="P98" s="66">
        <f t="shared" si="16"/>
        <v>-7252</v>
      </c>
      <c r="Q98" s="67"/>
      <c r="R98" s="68"/>
      <c r="S98" s="17"/>
    </row>
    <row r="99" spans="1:19" ht="15.75" x14ac:dyDescent="0.25">
      <c r="A99" s="167" t="s">
        <v>413</v>
      </c>
      <c r="B99" s="114" t="s">
        <v>264</v>
      </c>
      <c r="C99" s="115" t="s">
        <v>414</v>
      </c>
      <c r="D99" s="71">
        <v>20</v>
      </c>
      <c r="E99" s="71">
        <v>26</v>
      </c>
      <c r="F99" s="72">
        <v>4</v>
      </c>
      <c r="G99" s="73">
        <v>19</v>
      </c>
      <c r="H99" s="74"/>
      <c r="I99" s="41">
        <f t="shared" si="10"/>
        <v>99</v>
      </c>
      <c r="J99" s="75"/>
      <c r="K99" s="75"/>
      <c r="L99" s="76"/>
      <c r="M99" s="41">
        <f t="shared" si="11"/>
        <v>2574</v>
      </c>
      <c r="N99" s="41">
        <f t="shared" si="12"/>
        <v>0</v>
      </c>
      <c r="O99" s="43">
        <f t="shared" si="13"/>
        <v>2574</v>
      </c>
      <c r="P99" s="77">
        <f t="shared" si="16"/>
        <v>-2574</v>
      </c>
      <c r="Q99" s="78"/>
      <c r="R99" s="79"/>
      <c r="S99" s="17"/>
    </row>
    <row r="100" spans="1:19" ht="15.75" x14ac:dyDescent="0.25">
      <c r="A100" s="168"/>
      <c r="B100" s="116" t="s">
        <v>260</v>
      </c>
      <c r="C100" s="117" t="s">
        <v>415</v>
      </c>
      <c r="D100" s="37">
        <v>20</v>
      </c>
      <c r="E100" s="37">
        <v>26</v>
      </c>
      <c r="F100" s="38"/>
      <c r="G100" s="39">
        <v>4</v>
      </c>
      <c r="H100" s="40"/>
      <c r="I100" s="41">
        <f t="shared" si="10"/>
        <v>4</v>
      </c>
      <c r="J100" s="42"/>
      <c r="K100" s="42"/>
      <c r="L100" s="41"/>
      <c r="M100" s="41">
        <f t="shared" si="11"/>
        <v>104</v>
      </c>
      <c r="N100" s="41">
        <f t="shared" si="12"/>
        <v>0</v>
      </c>
      <c r="O100" s="43">
        <f t="shared" si="13"/>
        <v>104</v>
      </c>
      <c r="P100" s="43">
        <f t="shared" si="16"/>
        <v>-104</v>
      </c>
      <c r="Q100" s="44"/>
      <c r="R100" s="45"/>
      <c r="S100" s="17"/>
    </row>
    <row r="101" spans="1:19" ht="15.75" x14ac:dyDescent="0.25">
      <c r="A101" s="168"/>
      <c r="B101" s="116" t="s">
        <v>256</v>
      </c>
      <c r="C101" s="117" t="s">
        <v>416</v>
      </c>
      <c r="D101" s="37">
        <v>20</v>
      </c>
      <c r="E101" s="37">
        <v>26</v>
      </c>
      <c r="F101" s="38">
        <v>1</v>
      </c>
      <c r="G101" s="39">
        <v>26</v>
      </c>
      <c r="H101" s="40"/>
      <c r="I101" s="41">
        <f t="shared" si="10"/>
        <v>46</v>
      </c>
      <c r="J101" s="42"/>
      <c r="K101" s="42"/>
      <c r="L101" s="41"/>
      <c r="M101" s="41">
        <f t="shared" si="11"/>
        <v>1196</v>
      </c>
      <c r="N101" s="41">
        <f t="shared" si="12"/>
        <v>0</v>
      </c>
      <c r="O101" s="43">
        <f t="shared" si="13"/>
        <v>1196</v>
      </c>
      <c r="P101" s="43">
        <f t="shared" si="16"/>
        <v>-1196</v>
      </c>
      <c r="Q101" s="44"/>
      <c r="R101" s="45"/>
      <c r="S101" s="17"/>
    </row>
    <row r="102" spans="1:19" ht="15.75" x14ac:dyDescent="0.25">
      <c r="A102" s="169"/>
      <c r="B102" s="118" t="s">
        <v>251</v>
      </c>
      <c r="C102" s="119" t="s">
        <v>417</v>
      </c>
      <c r="D102" s="60">
        <v>20</v>
      </c>
      <c r="E102" s="60">
        <v>26</v>
      </c>
      <c r="F102" s="61">
        <v>3</v>
      </c>
      <c r="G102" s="62"/>
      <c r="H102" s="63"/>
      <c r="I102" s="41">
        <f t="shared" si="10"/>
        <v>60</v>
      </c>
      <c r="J102" s="64"/>
      <c r="K102" s="64"/>
      <c r="L102" s="65"/>
      <c r="M102" s="41">
        <f t="shared" si="11"/>
        <v>1560</v>
      </c>
      <c r="N102" s="41">
        <f t="shared" si="12"/>
        <v>0</v>
      </c>
      <c r="O102" s="43">
        <f t="shared" si="13"/>
        <v>1560</v>
      </c>
      <c r="P102" s="66">
        <f t="shared" si="16"/>
        <v>-1560</v>
      </c>
      <c r="Q102" s="67"/>
      <c r="R102" s="68"/>
      <c r="S102" s="17"/>
    </row>
    <row r="103" spans="1:19" ht="15.75" x14ac:dyDescent="0.25">
      <c r="A103" s="170" t="s">
        <v>418</v>
      </c>
      <c r="B103" s="120" t="s">
        <v>419</v>
      </c>
      <c r="C103" s="121" t="s">
        <v>420</v>
      </c>
      <c r="D103" s="122">
        <v>81</v>
      </c>
      <c r="E103" s="122">
        <v>12</v>
      </c>
      <c r="F103" s="123"/>
      <c r="G103" s="90">
        <v>31</v>
      </c>
      <c r="H103" s="124"/>
      <c r="I103" s="41">
        <f t="shared" si="10"/>
        <v>31</v>
      </c>
      <c r="J103" s="92"/>
      <c r="K103" s="92"/>
      <c r="L103" s="93">
        <f t="shared" ref="L103:L108" si="17">K103+J103</f>
        <v>0</v>
      </c>
      <c r="M103" s="41">
        <f t="shared" si="11"/>
        <v>372</v>
      </c>
      <c r="N103" s="41">
        <f t="shared" si="12"/>
        <v>0</v>
      </c>
      <c r="O103" s="43">
        <f t="shared" si="13"/>
        <v>372</v>
      </c>
      <c r="P103" s="94">
        <f t="shared" si="16"/>
        <v>-372</v>
      </c>
      <c r="Q103" s="95"/>
      <c r="R103" s="125"/>
      <c r="S103" s="17"/>
    </row>
    <row r="104" spans="1:19" ht="15.75" x14ac:dyDescent="0.25">
      <c r="A104" s="168"/>
      <c r="B104" s="126" t="s">
        <v>421</v>
      </c>
      <c r="C104" s="127" t="s">
        <v>422</v>
      </c>
      <c r="D104" s="128">
        <v>81</v>
      </c>
      <c r="E104" s="128">
        <v>12</v>
      </c>
      <c r="F104" s="129">
        <v>1</v>
      </c>
      <c r="G104" s="39">
        <v>16</v>
      </c>
      <c r="H104" s="130"/>
      <c r="I104" s="41">
        <f t="shared" si="10"/>
        <v>97</v>
      </c>
      <c r="J104" s="42"/>
      <c r="K104" s="42"/>
      <c r="L104" s="41">
        <f t="shared" si="17"/>
        <v>0</v>
      </c>
      <c r="M104" s="41">
        <f t="shared" si="11"/>
        <v>1164</v>
      </c>
      <c r="N104" s="41">
        <f t="shared" si="12"/>
        <v>0</v>
      </c>
      <c r="O104" s="43">
        <f t="shared" si="13"/>
        <v>1164</v>
      </c>
      <c r="P104" s="43">
        <f t="shared" si="16"/>
        <v>-1164</v>
      </c>
      <c r="Q104" s="44"/>
      <c r="R104" s="45"/>
      <c r="S104" s="17"/>
    </row>
    <row r="105" spans="1:19" ht="15.75" x14ac:dyDescent="0.25">
      <c r="A105" s="168"/>
      <c r="B105" s="131" t="s">
        <v>423</v>
      </c>
      <c r="C105" s="127" t="s">
        <v>424</v>
      </c>
      <c r="D105" s="132">
        <v>81</v>
      </c>
      <c r="E105" s="132">
        <v>12</v>
      </c>
      <c r="F105" s="129"/>
      <c r="G105" s="39"/>
      <c r="H105" s="130"/>
      <c r="I105" s="41">
        <f t="shared" si="10"/>
        <v>0</v>
      </c>
      <c r="J105" s="42"/>
      <c r="K105" s="42"/>
      <c r="L105" s="41">
        <f t="shared" si="17"/>
        <v>0</v>
      </c>
      <c r="M105" s="41">
        <f t="shared" si="11"/>
        <v>0</v>
      </c>
      <c r="N105" s="41">
        <f t="shared" si="12"/>
        <v>0</v>
      </c>
      <c r="O105" s="43">
        <f t="shared" si="13"/>
        <v>0</v>
      </c>
      <c r="P105" s="43">
        <f t="shared" si="16"/>
        <v>0</v>
      </c>
      <c r="Q105" s="44"/>
      <c r="R105" s="45"/>
      <c r="S105" s="17"/>
    </row>
    <row r="106" spans="1:19" ht="15.75" x14ac:dyDescent="0.25">
      <c r="A106" s="168"/>
      <c r="B106" s="133" t="s">
        <v>249</v>
      </c>
      <c r="C106" s="134" t="s">
        <v>425</v>
      </c>
      <c r="D106" s="132">
        <v>81</v>
      </c>
      <c r="E106" s="132">
        <v>12</v>
      </c>
      <c r="F106" s="129">
        <v>1</v>
      </c>
      <c r="G106" s="39">
        <v>59</v>
      </c>
      <c r="H106" s="130"/>
      <c r="I106" s="41">
        <f t="shared" si="10"/>
        <v>140</v>
      </c>
      <c r="J106" s="42"/>
      <c r="K106" s="42"/>
      <c r="L106" s="41">
        <f t="shared" si="17"/>
        <v>0</v>
      </c>
      <c r="M106" s="41">
        <f t="shared" si="11"/>
        <v>1680</v>
      </c>
      <c r="N106" s="41">
        <f t="shared" si="12"/>
        <v>0</v>
      </c>
      <c r="O106" s="43">
        <f t="shared" si="13"/>
        <v>1680</v>
      </c>
      <c r="P106" s="43">
        <f t="shared" si="16"/>
        <v>-1680</v>
      </c>
      <c r="Q106" s="44"/>
      <c r="R106" s="45"/>
      <c r="S106" s="17"/>
    </row>
    <row r="107" spans="1:19" ht="15.75" x14ac:dyDescent="0.25">
      <c r="A107" s="168"/>
      <c r="B107" s="126" t="s">
        <v>426</v>
      </c>
      <c r="C107" s="127" t="s">
        <v>427</v>
      </c>
      <c r="D107" s="132">
        <v>81</v>
      </c>
      <c r="E107" s="132">
        <v>24</v>
      </c>
      <c r="F107" s="129">
        <v>1</v>
      </c>
      <c r="G107" s="39">
        <v>68</v>
      </c>
      <c r="H107" s="130"/>
      <c r="I107" s="41">
        <f t="shared" si="10"/>
        <v>149</v>
      </c>
      <c r="J107" s="42"/>
      <c r="K107" s="42"/>
      <c r="L107" s="41">
        <f t="shared" si="17"/>
        <v>0</v>
      </c>
      <c r="M107" s="41">
        <f t="shared" si="11"/>
        <v>3576</v>
      </c>
      <c r="N107" s="41">
        <f t="shared" si="12"/>
        <v>0</v>
      </c>
      <c r="O107" s="43">
        <f t="shared" si="13"/>
        <v>3576</v>
      </c>
      <c r="P107" s="43">
        <f t="shared" si="16"/>
        <v>-3576</v>
      </c>
      <c r="Q107" s="44"/>
      <c r="R107" s="45"/>
      <c r="S107" s="17"/>
    </row>
    <row r="108" spans="1:19" ht="15.75" x14ac:dyDescent="0.25">
      <c r="A108" s="168"/>
      <c r="B108" s="131" t="s">
        <v>428</v>
      </c>
      <c r="C108" s="127" t="s">
        <v>429</v>
      </c>
      <c r="D108" s="135">
        <v>81</v>
      </c>
      <c r="E108" s="135">
        <v>24</v>
      </c>
      <c r="F108" s="129">
        <v>1</v>
      </c>
      <c r="G108" s="39">
        <v>81</v>
      </c>
      <c r="H108" s="130"/>
      <c r="I108" s="41">
        <f t="shared" si="10"/>
        <v>162</v>
      </c>
      <c r="J108" s="42"/>
      <c r="K108" s="42"/>
      <c r="L108" s="41">
        <f t="shared" si="17"/>
        <v>0</v>
      </c>
      <c r="M108" s="41">
        <f t="shared" si="11"/>
        <v>3888</v>
      </c>
      <c r="N108" s="41">
        <f t="shared" si="12"/>
        <v>0</v>
      </c>
      <c r="O108" s="43">
        <f t="shared" si="13"/>
        <v>3888</v>
      </c>
      <c r="P108" s="43">
        <f t="shared" si="16"/>
        <v>-3888</v>
      </c>
      <c r="Q108" s="44"/>
      <c r="R108" s="45"/>
      <c r="S108" s="17"/>
    </row>
    <row r="109" spans="1:19" ht="15.75" x14ac:dyDescent="0.25">
      <c r="A109" s="168"/>
      <c r="B109" s="131" t="s">
        <v>430</v>
      </c>
      <c r="C109" s="127" t="s">
        <v>431</v>
      </c>
      <c r="D109" s="135">
        <v>81</v>
      </c>
      <c r="E109" s="135">
        <v>24</v>
      </c>
      <c r="F109" s="129"/>
      <c r="G109" s="39">
        <v>132</v>
      </c>
      <c r="H109" s="130"/>
      <c r="I109" s="41">
        <f t="shared" si="10"/>
        <v>132</v>
      </c>
      <c r="J109" s="42"/>
      <c r="K109" s="42"/>
      <c r="L109" s="41"/>
      <c r="M109" s="41">
        <f t="shared" si="11"/>
        <v>3168</v>
      </c>
      <c r="N109" s="41">
        <f t="shared" si="12"/>
        <v>0</v>
      </c>
      <c r="O109" s="43">
        <f t="shared" si="13"/>
        <v>3168</v>
      </c>
      <c r="P109" s="43">
        <f t="shared" si="16"/>
        <v>-3168</v>
      </c>
      <c r="Q109" s="44"/>
      <c r="R109" s="45"/>
      <c r="S109" s="17"/>
    </row>
    <row r="110" spans="1:19" ht="15.75" x14ac:dyDescent="0.25">
      <c r="A110" s="168"/>
      <c r="B110" s="133" t="s">
        <v>245</v>
      </c>
      <c r="C110" s="134" t="s">
        <v>432</v>
      </c>
      <c r="D110" s="135">
        <v>81</v>
      </c>
      <c r="E110" s="135">
        <v>24</v>
      </c>
      <c r="F110" s="129">
        <v>1</v>
      </c>
      <c r="G110" s="39">
        <v>59</v>
      </c>
      <c r="H110" s="130"/>
      <c r="I110" s="41">
        <f t="shared" si="10"/>
        <v>140</v>
      </c>
      <c r="J110" s="42"/>
      <c r="K110" s="42"/>
      <c r="L110" s="41"/>
      <c r="M110" s="41">
        <f t="shared" si="11"/>
        <v>3360</v>
      </c>
      <c r="N110" s="41">
        <f t="shared" si="12"/>
        <v>0</v>
      </c>
      <c r="O110" s="43">
        <f t="shared" si="13"/>
        <v>3360</v>
      </c>
      <c r="P110" s="43">
        <f t="shared" si="16"/>
        <v>-3360</v>
      </c>
      <c r="Q110" s="44"/>
      <c r="R110" s="45"/>
      <c r="S110" s="17"/>
    </row>
    <row r="111" spans="1:19" ht="15.75" x14ac:dyDescent="0.25">
      <c r="A111" s="168"/>
      <c r="B111" s="136" t="s">
        <v>433</v>
      </c>
      <c r="C111" s="137" t="s">
        <v>434</v>
      </c>
      <c r="D111" s="135">
        <v>81</v>
      </c>
      <c r="E111" s="135">
        <v>12</v>
      </c>
      <c r="F111" s="129"/>
      <c r="G111" s="39"/>
      <c r="H111" s="130"/>
      <c r="I111" s="41">
        <f t="shared" si="10"/>
        <v>0</v>
      </c>
      <c r="J111" s="42"/>
      <c r="K111" s="42"/>
      <c r="L111" s="41"/>
      <c r="M111" s="41">
        <f t="shared" si="11"/>
        <v>0</v>
      </c>
      <c r="N111" s="41">
        <f t="shared" si="12"/>
        <v>0</v>
      </c>
      <c r="O111" s="43">
        <f t="shared" si="13"/>
        <v>0</v>
      </c>
      <c r="P111" s="43">
        <f t="shared" si="16"/>
        <v>0</v>
      </c>
      <c r="Q111" s="44"/>
      <c r="R111" s="45"/>
      <c r="S111" s="17"/>
    </row>
    <row r="112" spans="1:19" ht="15.75" x14ac:dyDescent="0.25">
      <c r="A112" s="168"/>
      <c r="B112" s="136" t="s">
        <v>435</v>
      </c>
      <c r="C112" s="137" t="s">
        <v>436</v>
      </c>
      <c r="D112" s="135">
        <v>81</v>
      </c>
      <c r="E112" s="135">
        <v>12</v>
      </c>
      <c r="F112" s="129">
        <v>1</v>
      </c>
      <c r="G112" s="138">
        <v>20</v>
      </c>
      <c r="H112" s="130"/>
      <c r="I112" s="41">
        <f t="shared" si="10"/>
        <v>101</v>
      </c>
      <c r="J112" s="42"/>
      <c r="K112" s="42"/>
      <c r="L112" s="41"/>
      <c r="M112" s="41">
        <f t="shared" si="11"/>
        <v>1212</v>
      </c>
      <c r="N112" s="41">
        <f t="shared" si="12"/>
        <v>0</v>
      </c>
      <c r="O112" s="43">
        <f t="shared" si="13"/>
        <v>1212</v>
      </c>
      <c r="P112" s="43">
        <f t="shared" si="16"/>
        <v>-1212</v>
      </c>
      <c r="Q112" s="44"/>
      <c r="R112" s="45"/>
      <c r="S112" s="17"/>
    </row>
    <row r="113" spans="1:19" ht="15.75" x14ac:dyDescent="0.25">
      <c r="A113" s="168"/>
      <c r="B113" s="136" t="s">
        <v>437</v>
      </c>
      <c r="C113" s="137" t="s">
        <v>438</v>
      </c>
      <c r="D113" s="135">
        <v>81</v>
      </c>
      <c r="E113" s="135">
        <v>12</v>
      </c>
      <c r="F113" s="129"/>
      <c r="G113" s="138">
        <v>36</v>
      </c>
      <c r="H113" s="130"/>
      <c r="I113" s="41">
        <f t="shared" si="10"/>
        <v>36</v>
      </c>
      <c r="J113" s="42"/>
      <c r="K113" s="42"/>
      <c r="L113" s="41"/>
      <c r="M113" s="41">
        <f t="shared" si="11"/>
        <v>432</v>
      </c>
      <c r="N113" s="41">
        <f t="shared" si="12"/>
        <v>0</v>
      </c>
      <c r="O113" s="43">
        <f t="shared" si="13"/>
        <v>432</v>
      </c>
      <c r="P113" s="43">
        <f t="shared" si="16"/>
        <v>-432</v>
      </c>
      <c r="Q113" s="44"/>
      <c r="R113" s="45"/>
      <c r="S113" s="17"/>
    </row>
    <row r="114" spans="1:19" ht="15.75" x14ac:dyDescent="0.25">
      <c r="A114" s="168"/>
      <c r="B114" s="136" t="s">
        <v>439</v>
      </c>
      <c r="C114" s="137" t="s">
        <v>440</v>
      </c>
      <c r="D114" s="132">
        <v>81</v>
      </c>
      <c r="E114" s="132">
        <v>12</v>
      </c>
      <c r="F114" s="129">
        <v>8</v>
      </c>
      <c r="G114" s="138">
        <v>121</v>
      </c>
      <c r="H114" s="130"/>
      <c r="I114" s="41">
        <f t="shared" si="10"/>
        <v>769</v>
      </c>
      <c r="J114" s="42"/>
      <c r="K114" s="42"/>
      <c r="L114" s="41">
        <f>K114+J114</f>
        <v>0</v>
      </c>
      <c r="M114" s="41">
        <f t="shared" si="11"/>
        <v>9228</v>
      </c>
      <c r="N114" s="41">
        <f t="shared" si="12"/>
        <v>0</v>
      </c>
      <c r="O114" s="43">
        <f t="shared" si="13"/>
        <v>9228</v>
      </c>
      <c r="P114" s="43">
        <f t="shared" si="16"/>
        <v>-9228</v>
      </c>
      <c r="Q114" s="44"/>
      <c r="R114" s="45"/>
      <c r="S114" s="17"/>
    </row>
    <row r="115" spans="1:19" ht="15.75" x14ac:dyDescent="0.25">
      <c r="A115" s="168"/>
      <c r="B115" s="139" t="s">
        <v>441</v>
      </c>
      <c r="C115" s="140" t="s">
        <v>442</v>
      </c>
      <c r="D115" s="141">
        <v>81</v>
      </c>
      <c r="E115" s="141">
        <v>12</v>
      </c>
      <c r="F115" s="142">
        <v>13</v>
      </c>
      <c r="G115" s="103">
        <v>44</v>
      </c>
      <c r="H115" s="143"/>
      <c r="I115" s="41">
        <f t="shared" si="10"/>
        <v>1097</v>
      </c>
      <c r="J115" s="105"/>
      <c r="K115" s="105"/>
      <c r="L115" s="106"/>
      <c r="M115" s="41">
        <f t="shared" si="11"/>
        <v>13164</v>
      </c>
      <c r="N115" s="41">
        <f t="shared" si="12"/>
        <v>0</v>
      </c>
      <c r="O115" s="43">
        <f t="shared" si="13"/>
        <v>13164</v>
      </c>
      <c r="P115" s="107">
        <f t="shared" si="16"/>
        <v>-13164</v>
      </c>
      <c r="Q115" s="108"/>
      <c r="R115" s="144"/>
      <c r="S115" s="17"/>
    </row>
    <row r="116" spans="1:19" ht="15.75" x14ac:dyDescent="0.25">
      <c r="A116" s="171"/>
      <c r="B116" s="145" t="s">
        <v>268</v>
      </c>
      <c r="C116" s="146" t="s">
        <v>443</v>
      </c>
      <c r="D116" s="147">
        <v>54</v>
      </c>
      <c r="E116" s="147">
        <v>20</v>
      </c>
      <c r="F116" s="148"/>
      <c r="G116" s="73"/>
      <c r="H116" s="149"/>
      <c r="I116" s="41">
        <f t="shared" si="10"/>
        <v>0</v>
      </c>
      <c r="J116" s="75"/>
      <c r="K116" s="75"/>
      <c r="L116" s="76"/>
      <c r="M116" s="41">
        <f t="shared" si="11"/>
        <v>0</v>
      </c>
      <c r="N116" s="41">
        <f t="shared" si="12"/>
        <v>0</v>
      </c>
      <c r="O116" s="43">
        <f t="shared" si="13"/>
        <v>0</v>
      </c>
      <c r="P116" s="77">
        <f t="shared" si="16"/>
        <v>0</v>
      </c>
      <c r="Q116" s="78"/>
      <c r="R116" s="79"/>
      <c r="S116" s="17"/>
    </row>
    <row r="117" spans="1:19" ht="15.75" x14ac:dyDescent="0.25">
      <c r="A117" s="171"/>
      <c r="B117" s="150" t="s">
        <v>271</v>
      </c>
      <c r="C117" s="151" t="s">
        <v>444</v>
      </c>
      <c r="D117" s="132">
        <v>56</v>
      </c>
      <c r="E117" s="132">
        <v>48</v>
      </c>
      <c r="F117" s="129"/>
      <c r="G117" s="39"/>
      <c r="H117" s="130"/>
      <c r="I117" s="41">
        <f t="shared" si="10"/>
        <v>0</v>
      </c>
      <c r="J117" s="42"/>
      <c r="K117" s="42"/>
      <c r="L117" s="41"/>
      <c r="M117" s="41">
        <f t="shared" si="11"/>
        <v>0</v>
      </c>
      <c r="N117" s="41">
        <f t="shared" si="12"/>
        <v>0</v>
      </c>
      <c r="O117" s="43">
        <f t="shared" si="13"/>
        <v>0</v>
      </c>
      <c r="P117" s="43">
        <f t="shared" si="16"/>
        <v>0</v>
      </c>
      <c r="Q117" s="44"/>
      <c r="R117" s="45"/>
      <c r="S117" s="17"/>
    </row>
    <row r="118" spans="1:19" ht="15.75" x14ac:dyDescent="0.25">
      <c r="A118" s="171"/>
      <c r="B118" s="150" t="s">
        <v>274</v>
      </c>
      <c r="C118" s="151" t="s">
        <v>445</v>
      </c>
      <c r="D118" s="132">
        <v>54</v>
      </c>
      <c r="E118" s="132">
        <v>20</v>
      </c>
      <c r="F118" s="129"/>
      <c r="G118" s="39"/>
      <c r="H118" s="130"/>
      <c r="I118" s="41">
        <f t="shared" si="10"/>
        <v>0</v>
      </c>
      <c r="J118" s="42"/>
      <c r="K118" s="42"/>
      <c r="L118" s="41"/>
      <c r="M118" s="41">
        <f t="shared" si="11"/>
        <v>0</v>
      </c>
      <c r="N118" s="41">
        <f t="shared" si="12"/>
        <v>0</v>
      </c>
      <c r="O118" s="43">
        <f t="shared" si="13"/>
        <v>0</v>
      </c>
      <c r="P118" s="43">
        <f t="shared" si="16"/>
        <v>0</v>
      </c>
      <c r="Q118" s="44"/>
      <c r="R118" s="45"/>
      <c r="S118" s="17"/>
    </row>
    <row r="119" spans="1:19" ht="15.75" x14ac:dyDescent="0.25">
      <c r="A119" s="171"/>
      <c r="B119" s="150" t="s">
        <v>277</v>
      </c>
      <c r="C119" s="151" t="s">
        <v>446</v>
      </c>
      <c r="D119" s="132">
        <v>56</v>
      </c>
      <c r="E119" s="132">
        <v>48</v>
      </c>
      <c r="F119" s="129"/>
      <c r="G119" s="39"/>
      <c r="H119" s="130"/>
      <c r="I119" s="41">
        <f t="shared" si="10"/>
        <v>0</v>
      </c>
      <c r="J119" s="42"/>
      <c r="K119" s="42"/>
      <c r="L119" s="41"/>
      <c r="M119" s="41">
        <f t="shared" si="11"/>
        <v>0</v>
      </c>
      <c r="N119" s="41">
        <f t="shared" si="12"/>
        <v>0</v>
      </c>
      <c r="O119" s="43">
        <f t="shared" si="13"/>
        <v>0</v>
      </c>
      <c r="P119" s="43">
        <f t="shared" si="16"/>
        <v>0</v>
      </c>
      <c r="Q119" s="44"/>
      <c r="R119" s="45"/>
      <c r="S119" s="17"/>
    </row>
    <row r="120" spans="1:19" ht="15.75" x14ac:dyDescent="0.25">
      <c r="A120" s="171"/>
      <c r="B120" s="150" t="s">
        <v>280</v>
      </c>
      <c r="C120" s="151" t="s">
        <v>447</v>
      </c>
      <c r="D120" s="132">
        <v>54</v>
      </c>
      <c r="E120" s="132">
        <v>20</v>
      </c>
      <c r="F120" s="129"/>
      <c r="G120" s="39"/>
      <c r="H120" s="130"/>
      <c r="I120" s="41">
        <f t="shared" si="10"/>
        <v>0</v>
      </c>
      <c r="J120" s="42"/>
      <c r="K120" s="42"/>
      <c r="L120" s="41"/>
      <c r="M120" s="41">
        <f t="shared" si="11"/>
        <v>0</v>
      </c>
      <c r="N120" s="41">
        <f t="shared" si="12"/>
        <v>0</v>
      </c>
      <c r="O120" s="43">
        <f t="shared" si="13"/>
        <v>0</v>
      </c>
      <c r="P120" s="43">
        <f t="shared" si="16"/>
        <v>0</v>
      </c>
      <c r="Q120" s="44"/>
      <c r="R120" s="45"/>
      <c r="S120" s="17"/>
    </row>
    <row r="121" spans="1:19" ht="15.75" x14ac:dyDescent="0.25">
      <c r="A121" s="171"/>
      <c r="B121" s="152" t="s">
        <v>283</v>
      </c>
      <c r="C121" s="153" t="s">
        <v>448</v>
      </c>
      <c r="D121" s="154">
        <v>56</v>
      </c>
      <c r="E121" s="154">
        <v>48</v>
      </c>
      <c r="F121" s="155"/>
      <c r="G121" s="62"/>
      <c r="H121" s="156"/>
      <c r="I121" s="41">
        <f t="shared" si="10"/>
        <v>0</v>
      </c>
      <c r="J121" s="64"/>
      <c r="K121" s="64"/>
      <c r="L121" s="65"/>
      <c r="M121" s="41">
        <f t="shared" si="11"/>
        <v>0</v>
      </c>
      <c r="N121" s="41">
        <f t="shared" si="12"/>
        <v>0</v>
      </c>
      <c r="O121" s="43">
        <f t="shared" si="13"/>
        <v>0</v>
      </c>
      <c r="P121" s="66">
        <f t="shared" si="16"/>
        <v>0</v>
      </c>
      <c r="Q121" s="67"/>
      <c r="R121" s="68"/>
      <c r="S121" s="17"/>
    </row>
    <row r="122" spans="1:19" x14ac:dyDescent="0.25">
      <c r="A122" s="157"/>
      <c r="B122" s="158" t="s">
        <v>266</v>
      </c>
      <c r="C122" s="157" t="s">
        <v>449</v>
      </c>
      <c r="D122" s="158">
        <v>81</v>
      </c>
      <c r="E122" s="158">
        <v>12</v>
      </c>
      <c r="F122" s="158"/>
      <c r="G122" s="158"/>
      <c r="H122" s="158"/>
      <c r="I122" s="159"/>
      <c r="J122" s="94"/>
      <c r="K122" s="94"/>
      <c r="L122" s="94"/>
      <c r="M122" s="94"/>
      <c r="N122" s="160"/>
      <c r="O122" s="161">
        <f>SUM(O4:O121)</f>
        <v>306036</v>
      </c>
      <c r="P122" s="162">
        <f>Q122-O122</f>
        <v>-306036</v>
      </c>
      <c r="Q122" s="163"/>
      <c r="R122" s="94"/>
      <c r="S122" s="17"/>
    </row>
    <row r="123" spans="1:19" x14ac:dyDescent="0.25">
      <c r="B123" s="16" t="s">
        <v>262</v>
      </c>
      <c r="C123" s="17" t="s">
        <v>450</v>
      </c>
      <c r="D123" s="158">
        <v>81</v>
      </c>
      <c r="E123" s="158">
        <v>12</v>
      </c>
      <c r="S123" s="19"/>
    </row>
    <row r="124" spans="1:19" s="19" customFormat="1" x14ac:dyDescent="0.25">
      <c r="A124" s="17"/>
      <c r="B124" s="19" t="s">
        <v>258</v>
      </c>
      <c r="C124" s="19" t="s">
        <v>451</v>
      </c>
      <c r="D124" s="158">
        <v>81</v>
      </c>
      <c r="E124" s="158">
        <v>12</v>
      </c>
      <c r="F124" s="16"/>
      <c r="G124" s="16"/>
      <c r="H124" s="16"/>
      <c r="I124" s="16"/>
      <c r="J124" s="18"/>
    </row>
    <row r="125" spans="1:19" s="19" customFormat="1" x14ac:dyDescent="0.25">
      <c r="A125" s="17"/>
      <c r="B125" s="16" t="s">
        <v>254</v>
      </c>
      <c r="C125" s="17" t="s">
        <v>452</v>
      </c>
      <c r="D125" s="158">
        <v>81</v>
      </c>
      <c r="E125" s="158">
        <v>12</v>
      </c>
      <c r="F125" s="16"/>
      <c r="G125" s="16"/>
      <c r="H125" s="16"/>
      <c r="I125" s="16"/>
      <c r="J125" s="18"/>
    </row>
  </sheetData>
  <autoFilter ref="A3:S121" xr:uid="{C16BD021-6FCF-4282-865D-81E83A59DB57}"/>
  <mergeCells count="9">
    <mergeCell ref="A92:A98"/>
    <mergeCell ref="A99:A102"/>
    <mergeCell ref="A103:A121"/>
    <mergeCell ref="A4:A16"/>
    <mergeCell ref="A17:A36"/>
    <mergeCell ref="A37:A63"/>
    <mergeCell ref="A64:A73"/>
    <mergeCell ref="A74:A85"/>
    <mergeCell ref="A86:A90"/>
  </mergeCells>
  <pageMargins left="0.25" right="0.25" top="0.75" bottom="0.75" header="0.3" footer="0.3"/>
  <pageSetup paperSize="9" scale="75" orientation="landscape"/>
  <headerFooter>
    <oddHeader xml:space="preserve">&amp;C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product</vt:lpstr>
      <vt:lpstr>Schedule for outstanding prod</vt:lpstr>
      <vt:lpstr>07 Aug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Takunda Muchuva</dc:creator>
  <cp:keywords/>
  <dc:description/>
  <cp:lastModifiedBy>Sibusiso Makhonjwa</cp:lastModifiedBy>
  <cp:revision/>
  <dcterms:created xsi:type="dcterms:W3CDTF">2015-06-05T18:17:20Z</dcterms:created>
  <dcterms:modified xsi:type="dcterms:W3CDTF">2026-08-13T08:34:13Z</dcterms:modified>
  <cp:category/>
  <cp:contentStatus/>
</cp:coreProperties>
</file>